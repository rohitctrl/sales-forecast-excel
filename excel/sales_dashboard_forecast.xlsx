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41414"/>
      <sz val="10"/>
    </font>
    <font>
      <name val="Calibri"/>
      <b val="1"/>
      <color rgb="FF141414"/>
      <sz val="14"/>
    </font>
    <font>
      <name val="Calibri"/>
      <color rgb="FF5A5A5A"/>
      <sz val="9"/>
    </font>
    <font>
      <name val="Calibri"/>
      <b val="1"/>
      <color rgb="FF141414"/>
      <sz val="10"/>
    </font>
    <font>
      <name val="Calibri"/>
      <b val="1"/>
      <color rgb="FF1F2CD1"/>
      <sz val="10"/>
    </font>
    <font>
      <name val="Calibri"/>
      <b val="1"/>
      <color rgb="FF1F2CD1"/>
      <sz val="13"/>
    </font>
    <font>
      <name val="Calibri"/>
      <color rgb="FF1F2CD1"/>
      <sz val="10"/>
    </font>
  </fonts>
  <fills count="4">
    <fill>
      <patternFill/>
    </fill>
    <fill>
      <patternFill patternType="gray125"/>
    </fill>
    <fill>
      <patternFill patternType="solid">
        <fgColor rgb="FF1F2CD1"/>
      </patternFill>
    </fill>
    <fill>
      <patternFill patternType="solid">
        <fgColor rgb="FFECEAE2"/>
      </patternFill>
    </fill>
  </fills>
  <borders count="2">
    <border>
      <left/>
      <right/>
      <top/>
      <bottom/>
      <diagonal/>
    </border>
    <border>
      <left style="thin">
        <color rgb="FFB9B6AC"/>
      </left>
      <right style="thin">
        <color rgb="FFB9B6AC"/>
      </right>
      <top style="thin">
        <color rgb="FFB9B6AC"/>
      </top>
      <bottom style="thin">
        <color rgb="FFB9B6A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6" fillId="3" borderId="1" pivotButton="0" quotePrefix="0" xfId="0"/>
    <xf numFmtId="0" fontId="4" fillId="0" borderId="0" applyAlignment="1" pivotButton="0" quotePrefix="0" xfId="0">
      <alignment horizontal="left" wrapText="1"/>
    </xf>
    <xf numFmtId="3" fontId="7" fillId="0" borderId="0" pivotButton="0" quotePrefix="0" xfId="0"/>
    <xf numFmtId="164" fontId="7" fillId="0" borderId="0" pivotButton="0" quotePrefix="0" xfId="0"/>
    <xf numFmtId="3" fontId="5" fillId="0" borderId="0" pivotButton="0" quotePrefix="0" xfId="0"/>
    <xf numFmtId="10" fontId="2" fillId="0" borderId="0" pivotButton="0" quotePrefix="0" xfId="0"/>
    <xf numFmtId="0" fontId="1" fillId="2" borderId="0" pivotButton="0" quotePrefix="0" xfId="0"/>
    <xf numFmtId="3" fontId="8" fillId="0" borderId="0" pivotButton="0" quotePrefix="0" xfId="0"/>
    <xf numFmtId="10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'Dashboard'!$A$10:$A$33</f>
            </numRef>
          </cat>
          <val>
            <numRef>
              <f>'Dashboard'!$C$10:$C$33</f>
            </numRef>
          </val>
        </ser>
        <ser>
          <idx val="1"/>
          <order val="1"/>
          <tx>
            <strRef>
              <f>'Dashboard'!D9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'Dashboard'!$A$10:$A$33</f>
            </numRef>
          </cat>
          <val>
            <numRef>
              <f>'Dashboard'!$D$10:$D$33</f>
            </numRef>
          </val>
        </ser>
        <ser>
          <idx val="2"/>
          <order val="2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'Dashboard'!$A$10:$A$33</f>
            </numRef>
          </cat>
          <val>
            <numRef>
              <f>'Dashboard'!$E$10:$E$33</f>
            </numRef>
          </val>
        </ser>
        <ser>
          <idx val="3"/>
          <order val="3"/>
          <tx>
            <strRef>
              <f>'Dashboard'!F9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'Dashboard'!$A$10:$A$33</f>
            </numRef>
          </cat>
          <val>
            <numRef>
              <f>'Dashboard'!$F$10:$F$33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(GBP)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12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'Dashboard'!$B$37:$B$48</f>
            </numRef>
          </cat>
          <val>
            <numRef>
              <f>'Dashboard'!$C$37:$C$48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(GBP)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fitted vs held-out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'Forecast'!$A$6:$A$29</f>
            </numRef>
          </cat>
          <val>
            <numRef>
              <f>'Forecast'!$C$6:$C$29</f>
            </numRef>
          </val>
        </ser>
        <ser>
          <idx val="1"/>
          <order val="1"/>
          <tx>
            <strRef>
              <f>'Forecast'!P5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'Forecast'!$A$6:$A$29</f>
            </numRef>
          </cat>
          <val>
            <numRef>
              <f>'Forecast'!$P$6:$P$29</f>
            </numRef>
          </val>
        </ser>
        <ser>
          <idx val="2"/>
          <order val="2"/>
          <tx>
            <strRef>
              <f>'Forecast'!Q5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'Forecast'!$A$6:$A$29</f>
            </numRef>
          </cat>
          <val>
            <numRef>
              <f>'Forecast'!$Q$6:$Q$29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(GBP)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79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68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Sales" displayName="FactSales" ref="A1:I846" headerRowCount="1">
  <autoFilter ref="A1:I846"/>
  <tableColumns count="9">
    <tableColumn id="1" name="Month"/>
    <tableColumn id="2" name="Region"/>
    <tableColumn id="3" name="ProductCode"/>
    <tableColumn id="4" name="ProductName"/>
    <tableColumn id="5" name="Revenue"/>
    <tableColumn id="6" name="Units"/>
    <tableColumn id="7" name="Orders"/>
    <tableColumn id="8" name="Year"/>
    <tableColumn id="9" name="MonthNo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Read this first</t>
        </is>
      </c>
    </row>
    <row r="3">
      <c r="A3" s="2" t="inlineStr">
        <is>
          <t>What this workbook is</t>
        </is>
      </c>
    </row>
    <row r="4" ht="28" customHeight="1">
      <c r="A4" s="3" t="inlineStr">
        <is>
          <t>A sales dashboard and a monthly revenue forecast built on the UCI Online Retail II transaction file.</t>
        </is>
      </c>
    </row>
    <row r="5" ht="28" customHeight="1">
      <c r="A5" s="3" t="inlineStr">
        <is>
          <t>The Dashboard and Forecast sheets contain live formulas, not pasted values. Open it and press F9 - the numbers rebuild from the Data sheet.</t>
        </is>
      </c>
    </row>
    <row r="6" ht="28" customHeight="1">
      <c r="A6" s="3" t="inlineStr">
        <is>
          <t>Authoritative numbers are produced by analysis/run_analysis.py in the repository. This workbook reproduces them independently with LINEST.</t>
        </is>
      </c>
    </row>
    <row r="8">
      <c r="A8" s="2" t="inlineStr">
        <is>
          <t>Honest note on PivotTables</t>
        </is>
      </c>
    </row>
    <row r="9" ht="28" customHeight="1">
      <c r="A9" s="3" t="inlineStr">
        <is>
          <t>This file contains NO PivotTables. openpyxl cannot write a pivotCache or pivotTable part, so claiming one would be false.</t>
        </is>
      </c>
    </row>
    <row r="10" ht="28" customHeight="1">
      <c r="A10" s="3" t="inlineStr">
        <is>
          <t>The pivot logic - revenue sliced by month, region and product - is implemented with SUMIFS against a tidy fact table on the Data sheet, plus a data-validation dropdown that re-filters the KPI row.</t>
        </is>
      </c>
    </row>
    <row r="11" ht="28" customHeight="1">
      <c r="A11" s="3" t="inlineStr">
        <is>
          <t>For the reader's purpose this is equivalent: it produces the same cross-tab, it recalculates live when the source data changes, and unlike a PivotTable it does not need a manual refresh.</t>
        </is>
      </c>
    </row>
    <row r="13">
      <c r="A13" s="2" t="inlineStr">
        <is>
          <t>Data grain</t>
        </is>
      </c>
    </row>
    <row r="14" ht="28" customHeight="1">
      <c r="A14" s="3" t="inlineStr">
        <is>
          <t>The Data sheet holds 845 aggregated rows at month x region x product-group grain.</t>
        </is>
      </c>
    </row>
    <row r="15" ht="28" customHeight="1">
      <c r="A15" s="3" t="inlineStr">
        <is>
          <t>The underlying transaction file has 1,067,371 raw line items. Putting those in a workbook would produce a several-hundred-megabyte file and make every SUMIFS crawl, so the line level lives in the Python pipeline and the workbook carries the aggregate.</t>
        </is>
      </c>
    </row>
    <row r="16" ht="28" customHeight="1">
      <c r="A16" s="3" t="inlineStr">
        <is>
          <t>Coverage: 24 complete months, four derived geography buckets, the twelve largest products plus an 'all other products' bucket.</t>
        </is>
      </c>
    </row>
    <row r="18">
      <c r="A18" s="2" t="inlineStr">
        <is>
          <t>Geography buckets are derived, not native</t>
        </is>
      </c>
    </row>
    <row r="19" ht="28" customHeight="1">
      <c r="A19" s="3" t="inlineStr">
        <is>
          <t>The raw file has one free-text Country column with 43 distinct values and no region field of any kind.</t>
        </is>
      </c>
    </row>
    <row r="20" ht="28" customHeight="1">
      <c r="A20" s="3" t="inlineStr">
        <is>
          <t>United Kingdom / Ireland (EIRE) / Rest of Europe / Rest of World are buckets defined in analysis/pipeline.py. They are ours, not the data's.</t>
        </is>
      </c>
    </row>
    <row r="22">
      <c r="A22" s="2" t="inlineStr">
        <is>
          <t>Provenance</t>
        </is>
      </c>
    </row>
    <row r="23" ht="28" customHeight="1">
      <c r="A23" s="3" t="inlineStr">
        <is>
          <t>Source: UCI Online Retail II - https://archive.ics.uci.edu/dataset/502/online+retail+ii</t>
        </is>
      </c>
    </row>
    <row r="24" ht="28" customHeight="1">
      <c r="A24" s="3" t="inlineStr">
        <is>
          <t>File: https://archive.ics.uci.edu/static/public/502/online+retail+ii.zip</t>
        </is>
      </c>
    </row>
    <row r="25" ht="28" customHeight="1">
      <c r="A25" s="3" t="inlineStr">
        <is>
          <t>sha256: 572e36277c2390fbfde10664750731e0a86f55e33470d91919085f0408e67bfb</t>
        </is>
      </c>
    </row>
    <row r="26" ht="28" customHeight="1">
      <c r="A26" s="3" t="inlineStr">
        <is>
          <t>Bytes: 45,622,418</t>
        </is>
      </c>
    </row>
    <row r="28">
      <c r="A28" s="2" t="inlineStr">
        <is>
          <t>Dropped-row ledger</t>
        </is>
      </c>
    </row>
    <row r="29" ht="26" customHeight="1">
      <c r="A29" s="4" t="inlineStr">
        <is>
          <t>Step</t>
        </is>
      </c>
      <c r="B29" s="4" t="inlineStr">
        <is>
          <t>Rows dropped</t>
        </is>
      </c>
      <c r="C29" s="4" t="inlineStr">
        <is>
          <t>Rows remaining</t>
        </is>
      </c>
      <c r="D29" s="4" t="inlineStr">
        <is>
          <t>Why</t>
        </is>
      </c>
    </row>
    <row r="30" ht="30" customHeight="1">
      <c r="A30" s="5" t="inlineStr">
        <is>
          <t>cross_sheet_overlap</t>
        </is>
      </c>
      <c r="B30" s="6" t="n">
        <v>22523</v>
      </c>
      <c r="C30" s="6" t="n">
        <v>1044848</v>
      </c>
      <c r="D30" s="3" t="inlineStr">
        <is>
          <t>Sheets 'Year 2009-2010' and 'Year 2010-2011' both cover 2010-12-01 to 2010-12-09. Kept the sheet-1 copy, dropped the sheet-2 duplicate.</t>
        </is>
      </c>
    </row>
    <row r="31" ht="30" customHeight="1">
      <c r="A31" s="5" t="inlineStr">
        <is>
          <t>exact_duplicate_lines</t>
        </is>
      </c>
      <c r="B31" s="6" t="n">
        <v>11814</v>
      </c>
      <c r="C31" s="6" t="n">
        <v>1033034</v>
      </c>
      <c r="D31" s="3" t="inlineStr">
        <is>
          <t>Identical Invoice+StockCode+Quantity+Price+timestamp+Country rows. Same line recorded twice; keeping both would double-count revenue.</t>
        </is>
      </c>
    </row>
    <row r="32" ht="30" customHeight="1">
      <c r="A32" s="5" t="inlineStr">
        <is>
          <t>credit_notes</t>
        </is>
      </c>
      <c r="B32" s="6" t="n">
        <v>19104</v>
      </c>
      <c r="C32" s="6" t="n">
        <v>1013930</v>
      </c>
      <c r="D32" s="3" t="inlineStr">
        <is>
          <t>Invoice numbers starting with 'C' are cancellations/returns with negative quantities. Excluded so the series measures gross sales.</t>
        </is>
      </c>
    </row>
    <row r="33" ht="30" customHeight="1">
      <c r="A33" s="5" t="inlineStr">
        <is>
          <t>admin_stock_codes</t>
        </is>
      </c>
      <c r="B33" s="6" t="n">
        <v>4631</v>
      </c>
      <c r="C33" s="6" t="n">
        <v>1009299</v>
      </c>
      <c r="D33" s="3" t="inlineStr">
        <is>
          <t>Postage (POST/DOT), manual adjustments (M/ADJUST), bank charges, samples, Amazon fees, gift vouchers and TEST rows are not product sales.</t>
        </is>
      </c>
    </row>
    <row r="34" ht="30" customHeight="1">
      <c r="A34" s="5" t="inlineStr">
        <is>
          <t>nonpositive_quantity</t>
        </is>
      </c>
      <c r="B34" s="6" t="n">
        <v>3392</v>
      </c>
      <c r="C34" s="6" t="n">
        <v>1005907</v>
      </c>
      <c r="D34" s="3" t="inlineStr">
        <is>
          <t>Quantity &lt;= 0 outside the credit-note set: write-offs and stock corrections, not sales.</t>
        </is>
      </c>
    </row>
    <row r="35" ht="30" customHeight="1">
      <c r="A35" s="5" t="inlineStr">
        <is>
          <t>nonpositive_price</t>
        </is>
      </c>
      <c r="B35" s="6" t="n">
        <v>2571</v>
      </c>
      <c r="C35" s="6" t="n">
        <v>1003336</v>
      </c>
      <c r="D35" s="3" t="inlineStr">
        <is>
          <t>Price &lt;= 0 lines produce zero or negative revenue; they are freebies and entry errors, not sales.</t>
        </is>
      </c>
    </row>
    <row r="36" ht="30" customHeight="1">
      <c r="A36" s="5" t="inlineStr">
        <is>
          <t>truncated_final_month</t>
        </is>
      </c>
      <c r="B36" s="6" t="n">
        <v>24753</v>
      </c>
      <c r="C36" s="6" t="n">
        <v>978583</v>
      </c>
      <c r="D36" s="3" t="inlineStr">
        <is>
          <t>The file stops on 2011-12-09, so December 2011 is a part-month and would read as a 58% collapse in a monthly series.</t>
        </is>
      </c>
    </row>
    <row r="38">
      <c r="A38" s="2" t="inlineStr">
        <is>
          <t>Resume claims checked against the data</t>
        </is>
      </c>
    </row>
    <row r="39" ht="26" customHeight="1">
      <c r="A39" s="4" t="inlineStr">
        <is>
          <t>Claim</t>
        </is>
      </c>
      <c r="B39" s="4" t="inlineStr">
        <is>
          <t>Verdict</t>
        </is>
      </c>
      <c r="C39" s="4" t="inlineStr">
        <is>
          <t>What the data says</t>
        </is>
      </c>
    </row>
    <row r="40" ht="34" customHeight="1">
      <c r="A40" s="3" t="inlineStr">
        <is>
          <t>15K+ monthly sales records</t>
        </is>
      </c>
      <c r="B40" s="2" t="inlineStr">
        <is>
          <t>supported</t>
        </is>
      </c>
      <c r="C40" s="3" t="inlineStr">
        <is>
          <t>40,774 clean records per month (978,583 over 24 months)</t>
        </is>
      </c>
    </row>
    <row r="41" ht="34" customHeight="1">
      <c r="A41" s="3" t="inlineStr">
        <is>
          <t>across 4 regions</t>
        </is>
      </c>
      <c r="B41" s="2" t="inlineStr">
        <is>
          <t>contradicted</t>
        </is>
      </c>
      <c r="C41" s="3" t="inlineStr">
        <is>
          <t>43 countries, no region column</t>
        </is>
      </c>
    </row>
    <row r="42" ht="34" customHeight="1">
      <c r="A42" s="3" t="inlineStr">
        <is>
          <t>and 12 products</t>
        </is>
      </c>
      <c r="B42" s="2" t="inlineStr">
        <is>
          <t>contradicted</t>
        </is>
      </c>
      <c r="C42" s="3" t="inlineStr">
        <is>
          <t>4,893 distinct stock codes; the top 12 are only 8.36% of revenue</t>
        </is>
      </c>
    </row>
    <row r="43" ht="34" customHeight="1">
      <c r="A43" s="3" t="inlineStr">
        <is>
          <t>Used pivot tables, VLOOKUP, conditional formatting and charts</t>
        </is>
      </c>
      <c r="B43" s="2" t="inlineStr">
        <is>
          <t>partially_supported</t>
        </is>
      </c>
      <c r="C43" s="3" t="inlineStr">
        <is>
          <t>VLOOKUP, conditional formatting and native charts are in the workbook. There are no PivotTables.</t>
        </is>
      </c>
    </row>
    <row r="44" ht="34" customHeight="1">
      <c r="A44" s="3" t="inlineStr">
        <is>
          <t>linear regression to forecast next-quarter sales with 93% accuracy</t>
        </is>
      </c>
      <c r="B44" s="2" t="inlineStr">
        <is>
          <t>partially_supported</t>
        </is>
      </c>
      <c r="C44" s="3" t="inlineStr">
        <is>
          <t>MAPE 5.49% on the held-out quarter (= 94.51% 'accuracy'), RMSE GBP 89,466, R2 0.765 on n=3 months</t>
        </is>
      </c>
    </row>
    <row r="45" ht="34" customHeight="1">
      <c r="A45" s="3" t="inlineStr">
        <is>
          <t>reducing inventory gaps by 18%</t>
        </is>
      </c>
      <c r="B45" s="2" t="inlineStr">
        <is>
          <t>unverifiable</t>
        </is>
      </c>
      <c r="C45" s="3" t="inlineStr">
        <is>
          <t>no inventory, stock-out or fulfilment field exists in this dataset</t>
        </is>
      </c>
    </row>
  </sheetData>
  <mergeCells count="15">
    <mergeCell ref="A24:F24"/>
    <mergeCell ref="A16:F16"/>
    <mergeCell ref="A11:F11"/>
    <mergeCell ref="A10:F10"/>
    <mergeCell ref="A19:F19"/>
    <mergeCell ref="A14:F14"/>
    <mergeCell ref="A5:F5"/>
    <mergeCell ref="A23:F23"/>
    <mergeCell ref="A9:F9"/>
    <mergeCell ref="A26:F26"/>
    <mergeCell ref="A6:F6"/>
    <mergeCell ref="A4:F4"/>
    <mergeCell ref="A20:F20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38" customWidth="1" min="4" max="4"/>
    <col width="14" customWidth="1" min="5" max="5"/>
    <col width="10" customWidth="1" min="6" max="6"/>
    <col width="10" customWidth="1" min="7" max="7"/>
    <col width="8" customWidth="1" min="8" max="8"/>
    <col width="9" customWidth="1" min="9" max="9"/>
  </cols>
  <sheetData>
    <row r="1" ht="26" customHeight="1">
      <c r="A1" s="4" t="inlineStr">
        <is>
          <t>Month</t>
        </is>
      </c>
      <c r="B1" s="4" t="inlineStr">
        <is>
          <t>Region</t>
        </is>
      </c>
      <c r="C1" s="4" t="inlineStr">
        <is>
          <t>ProductCode</t>
        </is>
      </c>
      <c r="D1" s="4" t="inlineStr">
        <is>
          <t>ProductName</t>
        </is>
      </c>
      <c r="E1" s="4" t="inlineStr">
        <is>
          <t>Revenue</t>
        </is>
      </c>
      <c r="F1" s="4" t="inlineStr">
        <is>
          <t>Units</t>
        </is>
      </c>
      <c r="G1" s="4" t="inlineStr">
        <is>
          <t>Orders</t>
        </is>
      </c>
      <c r="H1" s="4" t="inlineStr">
        <is>
          <t>Year</t>
        </is>
      </c>
      <c r="I1" s="4" t="inlineStr">
        <is>
          <t>MonthNo</t>
        </is>
      </c>
    </row>
    <row r="2">
      <c r="A2" s="5" t="inlineStr">
        <is>
          <t>2009-12</t>
        </is>
      </c>
      <c r="B2" s="5" t="inlineStr">
        <is>
          <t>Ireland (EIRE)</t>
        </is>
      </c>
      <c r="C2" s="5" t="inlineStr">
        <is>
          <t>20725</t>
        </is>
      </c>
      <c r="D2" s="5" t="inlineStr">
        <is>
          <t>LUNCH BAG RED RETROSPOT</t>
        </is>
      </c>
      <c r="E2" s="7" t="n">
        <v>145</v>
      </c>
      <c r="F2" s="8" t="n">
        <v>100</v>
      </c>
      <c r="G2" s="8" t="n">
        <v>1</v>
      </c>
      <c r="H2" s="5" t="n">
        <v>2009</v>
      </c>
      <c r="I2" s="5" t="n">
        <v>12</v>
      </c>
    </row>
    <row r="3">
      <c r="A3" s="5" t="inlineStr">
        <is>
          <t>2009-12</t>
        </is>
      </c>
      <c r="B3" s="5" t="inlineStr">
        <is>
          <t>Ireland (EIRE)</t>
        </is>
      </c>
      <c r="C3" s="5" t="inlineStr">
        <is>
          <t>22086</t>
        </is>
      </c>
      <c r="D3" s="5" t="inlineStr">
        <is>
          <t>PAPER CHAIN KIT 50'S CHRISTMAS</t>
        </is>
      </c>
      <c r="E3" s="7" t="n">
        <v>17.7</v>
      </c>
      <c r="F3" s="8" t="n">
        <v>6</v>
      </c>
      <c r="G3" s="8" t="n">
        <v>1</v>
      </c>
      <c r="H3" s="5" t="n">
        <v>2009</v>
      </c>
      <c r="I3" s="5" t="n">
        <v>12</v>
      </c>
    </row>
    <row r="4">
      <c r="A4" s="5" t="inlineStr">
        <is>
          <t>2009-12</t>
        </is>
      </c>
      <c r="B4" s="5" t="inlineStr">
        <is>
          <t>Ireland (EIRE)</t>
        </is>
      </c>
      <c r="C4" s="5" t="inlineStr">
        <is>
          <t>22197</t>
        </is>
      </c>
      <c r="D4" s="5" t="inlineStr">
        <is>
          <t>SMALL POPCORN HOLDER</t>
        </is>
      </c>
      <c r="E4" s="7" t="n">
        <v>51</v>
      </c>
      <c r="F4" s="8" t="n">
        <v>60</v>
      </c>
      <c r="G4" s="8" t="n">
        <v>2</v>
      </c>
      <c r="H4" s="5" t="n">
        <v>2009</v>
      </c>
      <c r="I4" s="5" t="n">
        <v>12</v>
      </c>
    </row>
    <row r="5">
      <c r="A5" s="5" t="inlineStr">
        <is>
          <t>2009-12</t>
        </is>
      </c>
      <c r="B5" s="5" t="inlineStr">
        <is>
          <t>Ireland (EIRE)</t>
        </is>
      </c>
      <c r="C5" s="5" t="inlineStr">
        <is>
          <t>79321</t>
        </is>
      </c>
      <c r="D5" s="5" t="inlineStr">
        <is>
          <t>CHILLI LIGHTS</t>
        </is>
      </c>
      <c r="E5" s="7" t="n">
        <v>19.8</v>
      </c>
      <c r="F5" s="8" t="n">
        <v>4</v>
      </c>
      <c r="G5" s="8" t="n">
        <v>1</v>
      </c>
      <c r="H5" s="5" t="n">
        <v>2009</v>
      </c>
      <c r="I5" s="5" t="n">
        <v>12</v>
      </c>
    </row>
    <row r="6">
      <c r="A6" s="5" t="inlineStr">
        <is>
          <t>2009-12</t>
        </is>
      </c>
      <c r="B6" s="5" t="inlineStr">
        <is>
          <t>Ireland (EIRE)</t>
        </is>
      </c>
      <c r="C6" s="5" t="inlineStr">
        <is>
          <t>84879</t>
        </is>
      </c>
      <c r="D6" s="5" t="inlineStr">
        <is>
          <t>ASSORTED COLOUR BIRD ORNAMENT</t>
        </is>
      </c>
      <c r="E6" s="7" t="n">
        <v>13.52</v>
      </c>
      <c r="F6" s="8" t="n">
        <v>8</v>
      </c>
      <c r="G6" s="8" t="n">
        <v>1</v>
      </c>
      <c r="H6" s="5" t="n">
        <v>2009</v>
      </c>
      <c r="I6" s="5" t="n">
        <v>12</v>
      </c>
    </row>
    <row r="7">
      <c r="A7" s="5" t="inlineStr">
        <is>
          <t>2009-12</t>
        </is>
      </c>
      <c r="B7" s="5" t="inlineStr">
        <is>
          <t>Ireland (EIRE)</t>
        </is>
      </c>
      <c r="C7" s="5" t="inlineStr">
        <is>
          <t>85099B</t>
        </is>
      </c>
      <c r="D7" s="5" t="inlineStr">
        <is>
          <t>JUMBO BAG RED RETROSPOT</t>
        </is>
      </c>
      <c r="E7" s="7" t="n">
        <v>19.5</v>
      </c>
      <c r="F7" s="8" t="n">
        <v>10</v>
      </c>
      <c r="G7" s="8" t="n">
        <v>1</v>
      </c>
      <c r="H7" s="5" t="n">
        <v>2009</v>
      </c>
      <c r="I7" s="5" t="n">
        <v>12</v>
      </c>
    </row>
    <row r="8">
      <c r="A8" s="5" t="inlineStr">
        <is>
          <t>2009-12</t>
        </is>
      </c>
      <c r="B8" s="5" t="inlineStr">
        <is>
          <t>Ireland (EIRE)</t>
        </is>
      </c>
      <c r="C8" s="5" t="inlineStr">
        <is>
          <t>85123A</t>
        </is>
      </c>
      <c r="D8" s="5" t="inlineStr">
        <is>
          <t>WHITE HANGING HEART T-LIGHT HOLDER</t>
        </is>
      </c>
      <c r="E8" s="7" t="n">
        <v>333.3</v>
      </c>
      <c r="F8" s="8" t="n">
        <v>126</v>
      </c>
      <c r="G8" s="8" t="n">
        <v>4</v>
      </c>
      <c r="H8" s="5" t="n">
        <v>2009</v>
      </c>
      <c r="I8" s="5" t="n">
        <v>12</v>
      </c>
    </row>
    <row r="9">
      <c r="A9" s="5" t="inlineStr">
        <is>
          <t>2009-12</t>
        </is>
      </c>
      <c r="B9" s="5" t="inlineStr">
        <is>
          <t>Ireland (EIRE)</t>
        </is>
      </c>
      <c r="C9" s="5" t="inlineStr">
        <is>
          <t>ALL OTHER PRODUCTS</t>
        </is>
      </c>
      <c r="D9" s="5" t="inlineStr">
        <is>
          <t>All other products</t>
        </is>
      </c>
      <c r="E9" s="7" t="n">
        <v>18346.67</v>
      </c>
      <c r="F9" s="8" t="n">
        <v>9092</v>
      </c>
      <c r="G9" s="8" t="n">
        <v>18</v>
      </c>
      <c r="H9" s="5" t="n">
        <v>2009</v>
      </c>
      <c r="I9" s="5" t="n">
        <v>12</v>
      </c>
    </row>
    <row r="10">
      <c r="A10" s="5" t="inlineStr">
        <is>
          <t>2009-12</t>
        </is>
      </c>
      <c r="B10" s="5" t="inlineStr">
        <is>
          <t>Rest of Europe</t>
        </is>
      </c>
      <c r="C10" s="5" t="inlineStr">
        <is>
          <t>20725</t>
        </is>
      </c>
      <c r="D10" s="5" t="inlineStr">
        <is>
          <t>LUNCH BAG RED RETROSPOT</t>
        </is>
      </c>
      <c r="E10" s="7" t="n">
        <v>161.5</v>
      </c>
      <c r="F10" s="8" t="n">
        <v>110</v>
      </c>
      <c r="G10" s="8" t="n">
        <v>2</v>
      </c>
      <c r="H10" s="5" t="n">
        <v>2009</v>
      </c>
      <c r="I10" s="5" t="n">
        <v>12</v>
      </c>
    </row>
    <row r="11">
      <c r="A11" s="5" t="inlineStr">
        <is>
          <t>2009-12</t>
        </is>
      </c>
      <c r="B11" s="5" t="inlineStr">
        <is>
          <t>Rest of Europe</t>
        </is>
      </c>
      <c r="C11" s="5" t="inlineStr">
        <is>
          <t>22197</t>
        </is>
      </c>
      <c r="D11" s="5" t="inlineStr">
        <is>
          <t>SMALL POPCORN HOLDER</t>
        </is>
      </c>
      <c r="E11" s="7" t="n">
        <v>20.4</v>
      </c>
      <c r="F11" s="8" t="n">
        <v>24</v>
      </c>
      <c r="G11" s="8" t="n">
        <v>2</v>
      </c>
      <c r="H11" s="5" t="n">
        <v>2009</v>
      </c>
      <c r="I11" s="5" t="n">
        <v>12</v>
      </c>
    </row>
    <row r="12">
      <c r="A12" s="5" t="inlineStr">
        <is>
          <t>2009-12</t>
        </is>
      </c>
      <c r="B12" s="5" t="inlineStr">
        <is>
          <t>Rest of Europe</t>
        </is>
      </c>
      <c r="C12" s="5" t="inlineStr">
        <is>
          <t>47566</t>
        </is>
      </c>
      <c r="D12" s="5" t="inlineStr">
        <is>
          <t>PARTY BUNTING</t>
        </is>
      </c>
      <c r="E12" s="7" t="n">
        <v>23.25</v>
      </c>
      <c r="F12" s="8" t="n">
        <v>5</v>
      </c>
      <c r="G12" s="8" t="n">
        <v>1</v>
      </c>
      <c r="H12" s="5" t="n">
        <v>2009</v>
      </c>
      <c r="I12" s="5" t="n">
        <v>12</v>
      </c>
    </row>
    <row r="13">
      <c r="A13" s="5" t="inlineStr">
        <is>
          <t>2009-12</t>
        </is>
      </c>
      <c r="B13" s="5" t="inlineStr">
        <is>
          <t>Rest of Europe</t>
        </is>
      </c>
      <c r="C13" s="5" t="inlineStr">
        <is>
          <t>84347</t>
        </is>
      </c>
      <c r="D13" s="5" t="inlineStr">
        <is>
          <t>ROTATING SILVER ANGELS T-LIGHT HLDR</t>
        </is>
      </c>
      <c r="E13" s="7" t="n">
        <v>1008</v>
      </c>
      <c r="F13" s="8" t="n">
        <v>480</v>
      </c>
      <c r="G13" s="8" t="n">
        <v>1</v>
      </c>
      <c r="H13" s="5" t="n">
        <v>2009</v>
      </c>
      <c r="I13" s="5" t="n">
        <v>12</v>
      </c>
    </row>
    <row r="14">
      <c r="A14" s="5" t="inlineStr">
        <is>
          <t>2009-12</t>
        </is>
      </c>
      <c r="B14" s="5" t="inlineStr">
        <is>
          <t>Rest of Europe</t>
        </is>
      </c>
      <c r="C14" s="5" t="inlineStr">
        <is>
          <t>84879</t>
        </is>
      </c>
      <c r="D14" s="5" t="inlineStr">
        <is>
          <t>ASSORTED COLOUR BIRD ORNAMENT</t>
        </is>
      </c>
      <c r="E14" s="7" t="n">
        <v>216.32</v>
      </c>
      <c r="F14" s="8" t="n">
        <v>128</v>
      </c>
      <c r="G14" s="8" t="n">
        <v>7</v>
      </c>
      <c r="H14" s="5" t="n">
        <v>2009</v>
      </c>
      <c r="I14" s="5" t="n">
        <v>12</v>
      </c>
    </row>
    <row r="15">
      <c r="A15" s="5" t="inlineStr">
        <is>
          <t>2009-12</t>
        </is>
      </c>
      <c r="B15" s="5" t="inlineStr">
        <is>
          <t>Rest of Europe</t>
        </is>
      </c>
      <c r="C15" s="5" t="inlineStr">
        <is>
          <t>85099B</t>
        </is>
      </c>
      <c r="D15" s="5" t="inlineStr">
        <is>
          <t>JUMBO BAG RED RETROSPOT</t>
        </is>
      </c>
      <c r="E15" s="7" t="n">
        <v>214.5</v>
      </c>
      <c r="F15" s="8" t="n">
        <v>110</v>
      </c>
      <c r="G15" s="8" t="n">
        <v>6</v>
      </c>
      <c r="H15" s="5" t="n">
        <v>2009</v>
      </c>
      <c r="I15" s="5" t="n">
        <v>12</v>
      </c>
    </row>
    <row r="16">
      <c r="A16" s="5" t="inlineStr">
        <is>
          <t>2009-12</t>
        </is>
      </c>
      <c r="B16" s="5" t="inlineStr">
        <is>
          <t>Rest of Europe</t>
        </is>
      </c>
      <c r="C16" s="5" t="inlineStr">
        <is>
          <t>85123A</t>
        </is>
      </c>
      <c r="D16" s="5" t="inlineStr">
        <is>
          <t>WHITE HANGING HEART T-LIGHT HOLDER</t>
        </is>
      </c>
      <c r="E16" s="7" t="n">
        <v>1383.3</v>
      </c>
      <c r="F16" s="8" t="n">
        <v>534</v>
      </c>
      <c r="G16" s="8" t="n">
        <v>6</v>
      </c>
      <c r="H16" s="5" t="n">
        <v>2009</v>
      </c>
      <c r="I16" s="5" t="n">
        <v>12</v>
      </c>
    </row>
    <row r="17">
      <c r="A17" s="5" t="inlineStr">
        <is>
          <t>2009-12</t>
        </is>
      </c>
      <c r="B17" s="5" t="inlineStr">
        <is>
          <t>Rest of Europe</t>
        </is>
      </c>
      <c r="C17" s="5" t="inlineStr">
        <is>
          <t>ALL OTHER PRODUCTS</t>
        </is>
      </c>
      <c r="D17" s="5" t="inlineStr">
        <is>
          <t>All other products</t>
        </is>
      </c>
      <c r="E17" s="7" t="n">
        <v>48276.85</v>
      </c>
      <c r="F17" s="8" t="n">
        <v>27503</v>
      </c>
      <c r="G17" s="8" t="n">
        <v>60</v>
      </c>
      <c r="H17" s="5" t="n">
        <v>2009</v>
      </c>
      <c r="I17" s="5" t="n">
        <v>12</v>
      </c>
    </row>
    <row r="18">
      <c r="A18" s="5" t="inlineStr">
        <is>
          <t>2009-12</t>
        </is>
      </c>
      <c r="B18" s="5" t="inlineStr">
        <is>
          <t>Rest of World</t>
        </is>
      </c>
      <c r="C18" s="5" t="inlineStr">
        <is>
          <t>ALL OTHER PRODUCTS</t>
        </is>
      </c>
      <c r="D18" s="5" t="inlineStr">
        <is>
          <t>All other products</t>
        </is>
      </c>
      <c r="E18" s="7" t="n">
        <v>788.8</v>
      </c>
      <c r="F18" s="8" t="n">
        <v>680</v>
      </c>
      <c r="G18" s="8" t="n">
        <v>3</v>
      </c>
      <c r="H18" s="5" t="n">
        <v>2009</v>
      </c>
      <c r="I18" s="5" t="n">
        <v>12</v>
      </c>
    </row>
    <row r="19">
      <c r="A19" s="5" t="inlineStr">
        <is>
          <t>2009-12</t>
        </is>
      </c>
      <c r="B19" s="5" t="inlineStr">
        <is>
          <t>United Kingdom</t>
        </is>
      </c>
      <c r="C19" s="5" t="inlineStr">
        <is>
          <t>20725</t>
        </is>
      </c>
      <c r="D19" s="5" t="inlineStr">
        <is>
          <t>LUNCH BAG RED RETROSPOT</t>
        </is>
      </c>
      <c r="E19" s="7" t="n">
        <v>1317.1</v>
      </c>
      <c r="F19" s="8" t="n">
        <v>767</v>
      </c>
      <c r="G19" s="8" t="n">
        <v>85</v>
      </c>
      <c r="H19" s="5" t="n">
        <v>2009</v>
      </c>
      <c r="I19" s="5" t="n">
        <v>12</v>
      </c>
    </row>
    <row r="20">
      <c r="A20" s="5" t="inlineStr">
        <is>
          <t>2009-12</t>
        </is>
      </c>
      <c r="B20" s="5" t="inlineStr">
        <is>
          <t>United Kingdom</t>
        </is>
      </c>
      <c r="C20" s="5" t="inlineStr">
        <is>
          <t>22086</t>
        </is>
      </c>
      <c r="D20" s="5" t="inlineStr">
        <is>
          <t>PAPER CHAIN KIT 50'S CHRISTMAS</t>
        </is>
      </c>
      <c r="E20" s="7" t="n">
        <v>10151.66</v>
      </c>
      <c r="F20" s="8" t="n">
        <v>3356</v>
      </c>
      <c r="G20" s="8" t="n">
        <v>183</v>
      </c>
      <c r="H20" s="5" t="n">
        <v>2009</v>
      </c>
      <c r="I20" s="5" t="n">
        <v>12</v>
      </c>
    </row>
    <row r="21">
      <c r="A21" s="5" t="inlineStr">
        <is>
          <t>2009-12</t>
        </is>
      </c>
      <c r="B21" s="5" t="inlineStr">
        <is>
          <t>United Kingdom</t>
        </is>
      </c>
      <c r="C21" s="5" t="inlineStr">
        <is>
          <t>22197</t>
        </is>
      </c>
      <c r="D21" s="5" t="inlineStr">
        <is>
          <t>SMALL POPCORN HOLDER</t>
        </is>
      </c>
      <c r="E21" s="7" t="n">
        <v>1123.3</v>
      </c>
      <c r="F21" s="8" t="n">
        <v>1392</v>
      </c>
      <c r="G21" s="8" t="n">
        <v>46</v>
      </c>
      <c r="H21" s="5" t="n">
        <v>2009</v>
      </c>
      <c r="I21" s="5" t="n">
        <v>12</v>
      </c>
    </row>
    <row r="22">
      <c r="A22" s="5" t="inlineStr">
        <is>
          <t>2009-12</t>
        </is>
      </c>
      <c r="B22" s="5" t="inlineStr">
        <is>
          <t>United Kingdom</t>
        </is>
      </c>
      <c r="C22" s="5" t="inlineStr">
        <is>
          <t>47566</t>
        </is>
      </c>
      <c r="D22" s="5" t="inlineStr">
        <is>
          <t>PARTY BUNTING</t>
        </is>
      </c>
      <c r="E22" s="7" t="n">
        <v>569.45</v>
      </c>
      <c r="F22" s="8" t="n">
        <v>113</v>
      </c>
      <c r="G22" s="8" t="n">
        <v>28</v>
      </c>
      <c r="H22" s="5" t="n">
        <v>2009</v>
      </c>
      <c r="I22" s="5" t="n">
        <v>12</v>
      </c>
    </row>
    <row r="23">
      <c r="A23" s="5" t="inlineStr">
        <is>
          <t>2009-12</t>
        </is>
      </c>
      <c r="B23" s="5" t="inlineStr">
        <is>
          <t>United Kingdom</t>
        </is>
      </c>
      <c r="C23" s="5" t="inlineStr">
        <is>
          <t>79321</t>
        </is>
      </c>
      <c r="D23" s="5" t="inlineStr">
        <is>
          <t>CHILLI LIGHTS</t>
        </is>
      </c>
      <c r="E23" s="7" t="n">
        <v>2259.49</v>
      </c>
      <c r="F23" s="8" t="n">
        <v>483</v>
      </c>
      <c r="G23" s="8" t="n">
        <v>51</v>
      </c>
      <c r="H23" s="5" t="n">
        <v>2009</v>
      </c>
      <c r="I23" s="5" t="n">
        <v>12</v>
      </c>
    </row>
    <row r="24">
      <c r="A24" s="5" t="inlineStr">
        <is>
          <t>2009-12</t>
        </is>
      </c>
      <c r="B24" s="5" t="inlineStr">
        <is>
          <t>United Kingdom</t>
        </is>
      </c>
      <c r="C24" s="5" t="inlineStr">
        <is>
          <t>84347</t>
        </is>
      </c>
      <c r="D24" s="5" t="inlineStr">
        <is>
          <t>ROTATING SILVER ANGELS T-LIGHT HLDR</t>
        </is>
      </c>
      <c r="E24" s="7" t="n">
        <v>3346.73</v>
      </c>
      <c r="F24" s="8" t="n">
        <v>1427</v>
      </c>
      <c r="G24" s="8" t="n">
        <v>43</v>
      </c>
      <c r="H24" s="5" t="n">
        <v>2009</v>
      </c>
      <c r="I24" s="5" t="n">
        <v>12</v>
      </c>
    </row>
    <row r="25">
      <c r="A25" s="5" t="inlineStr">
        <is>
          <t>2009-12</t>
        </is>
      </c>
      <c r="B25" s="5" t="inlineStr">
        <is>
          <t>United Kingdom</t>
        </is>
      </c>
      <c r="C25" s="5" t="inlineStr">
        <is>
          <t>84879</t>
        </is>
      </c>
      <c r="D25" s="5" t="inlineStr">
        <is>
          <t>ASSORTED COLOUR BIRD ORNAMENT</t>
        </is>
      </c>
      <c r="E25" s="7" t="n">
        <v>7394.09</v>
      </c>
      <c r="F25" s="8" t="n">
        <v>4506</v>
      </c>
      <c r="G25" s="8" t="n">
        <v>99</v>
      </c>
      <c r="H25" s="5" t="n">
        <v>2009</v>
      </c>
      <c r="I25" s="5" t="n">
        <v>12</v>
      </c>
    </row>
    <row r="26">
      <c r="A26" s="5" t="inlineStr">
        <is>
          <t>2009-12</t>
        </is>
      </c>
      <c r="B26" s="5" t="inlineStr">
        <is>
          <t>United Kingdom</t>
        </is>
      </c>
      <c r="C26" s="5" t="inlineStr">
        <is>
          <t>85099B</t>
        </is>
      </c>
      <c r="D26" s="5" t="inlineStr">
        <is>
          <t>JUMBO BAG RED RETROSPOT</t>
        </is>
      </c>
      <c r="E26" s="7" t="n">
        <v>6467.5</v>
      </c>
      <c r="F26" s="8" t="n">
        <v>3651</v>
      </c>
      <c r="G26" s="8" t="n">
        <v>128</v>
      </c>
      <c r="H26" s="5" t="n">
        <v>2009</v>
      </c>
      <c r="I26" s="5" t="n">
        <v>12</v>
      </c>
    </row>
    <row r="27">
      <c r="A27" s="5" t="inlineStr">
        <is>
          <t>2009-12</t>
        </is>
      </c>
      <c r="B27" s="5" t="inlineStr">
        <is>
          <t>United Kingdom</t>
        </is>
      </c>
      <c r="C27" s="5" t="inlineStr">
        <is>
          <t>85123A</t>
        </is>
      </c>
      <c r="D27" s="5" t="inlineStr">
        <is>
          <t>WHITE HANGING HEART T-LIGHT HOLDER</t>
        </is>
      </c>
      <c r="E27" s="7" t="n">
        <v>15538.75</v>
      </c>
      <c r="F27" s="8" t="n">
        <v>5746</v>
      </c>
      <c r="G27" s="8" t="n">
        <v>294</v>
      </c>
      <c r="H27" s="5" t="n">
        <v>2009</v>
      </c>
      <c r="I27" s="5" t="n">
        <v>12</v>
      </c>
    </row>
    <row r="28">
      <c r="A28" s="5" t="inlineStr">
        <is>
          <t>2009-12</t>
        </is>
      </c>
      <c r="B28" s="5" t="inlineStr">
        <is>
          <t>United Kingdom</t>
        </is>
      </c>
      <c r="C28" s="5" t="inlineStr">
        <is>
          <t>ALL OTHER PRODUCTS</t>
        </is>
      </c>
      <c r="D28" s="5" t="inlineStr">
        <is>
          <t>All other products</t>
        </is>
      </c>
      <c r="E28" s="7" t="n">
        <v>678693.6800000001</v>
      </c>
      <c r="F28" s="8" t="n">
        <v>364797</v>
      </c>
      <c r="G28" s="8" t="n">
        <v>1564</v>
      </c>
      <c r="H28" s="5" t="n">
        <v>2009</v>
      </c>
      <c r="I28" s="5" t="n">
        <v>12</v>
      </c>
    </row>
    <row r="29">
      <c r="A29" s="5" t="inlineStr">
        <is>
          <t>2010-01</t>
        </is>
      </c>
      <c r="B29" s="5" t="inlineStr">
        <is>
          <t>Ireland (EIRE)</t>
        </is>
      </c>
      <c r="C29" s="5" t="inlineStr">
        <is>
          <t>20725</t>
        </is>
      </c>
      <c r="D29" s="5" t="inlineStr">
        <is>
          <t>LUNCH BAG RED RETROSPOT</t>
        </is>
      </c>
      <c r="E29" s="7" t="n">
        <v>89</v>
      </c>
      <c r="F29" s="8" t="n">
        <v>60</v>
      </c>
      <c r="G29" s="8" t="n">
        <v>2</v>
      </c>
      <c r="H29" s="5" t="n">
        <v>2010</v>
      </c>
      <c r="I29" s="5" t="n">
        <v>1</v>
      </c>
    </row>
    <row r="30">
      <c r="A30" s="5" t="inlineStr">
        <is>
          <t>2010-01</t>
        </is>
      </c>
      <c r="B30" s="5" t="inlineStr">
        <is>
          <t>Ireland (EIRE)</t>
        </is>
      </c>
      <c r="C30" s="5" t="inlineStr">
        <is>
          <t>85099B</t>
        </is>
      </c>
      <c r="D30" s="5" t="inlineStr">
        <is>
          <t>JUMBO BAG RED RETROSPOT</t>
        </is>
      </c>
      <c r="E30" s="7" t="n">
        <v>495</v>
      </c>
      <c r="F30" s="8" t="n">
        <v>300</v>
      </c>
      <c r="G30" s="8" t="n">
        <v>1</v>
      </c>
      <c r="H30" s="5" t="n">
        <v>2010</v>
      </c>
      <c r="I30" s="5" t="n">
        <v>1</v>
      </c>
    </row>
    <row r="31">
      <c r="A31" s="5" t="inlineStr">
        <is>
          <t>2010-01</t>
        </is>
      </c>
      <c r="B31" s="5" t="inlineStr">
        <is>
          <t>Ireland (EIRE)</t>
        </is>
      </c>
      <c r="C31" s="5" t="inlineStr">
        <is>
          <t>85123A</t>
        </is>
      </c>
      <c r="D31" s="5" t="inlineStr">
        <is>
          <t>WHITE HANGING HEART T-LIGHT HOLDER</t>
        </is>
      </c>
      <c r="E31" s="7" t="n">
        <v>496.5</v>
      </c>
      <c r="F31" s="8" t="n">
        <v>190</v>
      </c>
      <c r="G31" s="8" t="n">
        <v>3</v>
      </c>
      <c r="H31" s="5" t="n">
        <v>2010</v>
      </c>
      <c r="I31" s="5" t="n">
        <v>1</v>
      </c>
    </row>
    <row r="32">
      <c r="A32" s="5" t="inlineStr">
        <is>
          <t>2010-01</t>
        </is>
      </c>
      <c r="B32" s="5" t="inlineStr">
        <is>
          <t>Ireland (EIRE)</t>
        </is>
      </c>
      <c r="C32" s="5" t="inlineStr">
        <is>
          <t>ALL OTHER PRODUCTS</t>
        </is>
      </c>
      <c r="D32" s="5" t="inlineStr">
        <is>
          <t>All other products</t>
        </is>
      </c>
      <c r="E32" s="7" t="n">
        <v>57588.98</v>
      </c>
      <c r="F32" s="8" t="n">
        <v>30237</v>
      </c>
      <c r="G32" s="8" t="n">
        <v>13</v>
      </c>
      <c r="H32" s="5" t="n">
        <v>2010</v>
      </c>
      <c r="I32" s="5" t="n">
        <v>1</v>
      </c>
    </row>
    <row r="33">
      <c r="A33" s="5" t="inlineStr">
        <is>
          <t>2010-01</t>
        </is>
      </c>
      <c r="B33" s="5" t="inlineStr">
        <is>
          <t>Rest of Europe</t>
        </is>
      </c>
      <c r="C33" s="5" t="inlineStr">
        <is>
          <t>20725</t>
        </is>
      </c>
      <c r="D33" s="5" t="inlineStr">
        <is>
          <t>LUNCH BAG RED RETROSPOT</t>
        </is>
      </c>
      <c r="E33" s="7" t="n">
        <v>422</v>
      </c>
      <c r="F33" s="8" t="n">
        <v>280</v>
      </c>
      <c r="G33" s="8" t="n">
        <v>7</v>
      </c>
      <c r="H33" s="5" t="n">
        <v>2010</v>
      </c>
      <c r="I33" s="5" t="n">
        <v>1</v>
      </c>
    </row>
    <row r="34">
      <c r="A34" s="5" t="inlineStr">
        <is>
          <t>2010-01</t>
        </is>
      </c>
      <c r="B34" s="5" t="inlineStr">
        <is>
          <t>Rest of Europe</t>
        </is>
      </c>
      <c r="C34" s="5" t="inlineStr">
        <is>
          <t>22197</t>
        </is>
      </c>
      <c r="D34" s="5" t="inlineStr">
        <is>
          <t>SMALL POPCORN HOLDER</t>
        </is>
      </c>
      <c r="E34" s="7" t="n">
        <v>26.35</v>
      </c>
      <c r="F34" s="8" t="n">
        <v>31</v>
      </c>
      <c r="G34" s="8" t="n">
        <v>2</v>
      </c>
      <c r="H34" s="5" t="n">
        <v>2010</v>
      </c>
      <c r="I34" s="5" t="n">
        <v>1</v>
      </c>
    </row>
    <row r="35">
      <c r="A35" s="5" t="inlineStr">
        <is>
          <t>2010-01</t>
        </is>
      </c>
      <c r="B35" s="5" t="inlineStr">
        <is>
          <t>Rest of Europe</t>
        </is>
      </c>
      <c r="C35" s="5" t="inlineStr">
        <is>
          <t>47566</t>
        </is>
      </c>
      <c r="D35" s="5" t="inlineStr">
        <is>
          <t>PARTY BUNTING</t>
        </is>
      </c>
      <c r="E35" s="7" t="n">
        <v>271.5</v>
      </c>
      <c r="F35" s="8" t="n">
        <v>70</v>
      </c>
      <c r="G35" s="8" t="n">
        <v>2</v>
      </c>
      <c r="H35" s="5" t="n">
        <v>2010</v>
      </c>
      <c r="I35" s="5" t="n">
        <v>1</v>
      </c>
    </row>
    <row r="36">
      <c r="A36" s="5" t="inlineStr">
        <is>
          <t>2010-01</t>
        </is>
      </c>
      <c r="B36" s="5" t="inlineStr">
        <is>
          <t>Rest of Europe</t>
        </is>
      </c>
      <c r="C36" s="5" t="inlineStr">
        <is>
          <t>84879</t>
        </is>
      </c>
      <c r="D36" s="5" t="inlineStr">
        <is>
          <t>ASSORTED COLOUR BIRD ORNAMENT</t>
        </is>
      </c>
      <c r="E36" s="7" t="n">
        <v>299.6</v>
      </c>
      <c r="F36" s="8" t="n">
        <v>200</v>
      </c>
      <c r="G36" s="8" t="n">
        <v>5</v>
      </c>
      <c r="H36" s="5" t="n">
        <v>2010</v>
      </c>
      <c r="I36" s="5" t="n">
        <v>1</v>
      </c>
    </row>
    <row r="37">
      <c r="A37" s="5" t="inlineStr">
        <is>
          <t>2010-01</t>
        </is>
      </c>
      <c r="B37" s="5" t="inlineStr">
        <is>
          <t>Rest of Europe</t>
        </is>
      </c>
      <c r="C37" s="5" t="inlineStr">
        <is>
          <t>85099B</t>
        </is>
      </c>
      <c r="D37" s="5" t="inlineStr">
        <is>
          <t>JUMBO BAG RED RETROSPOT</t>
        </is>
      </c>
      <c r="E37" s="7" t="n">
        <v>1296</v>
      </c>
      <c r="F37" s="8" t="n">
        <v>760</v>
      </c>
      <c r="G37" s="8" t="n">
        <v>11</v>
      </c>
      <c r="H37" s="5" t="n">
        <v>2010</v>
      </c>
      <c r="I37" s="5" t="n">
        <v>1</v>
      </c>
    </row>
    <row r="38">
      <c r="A38" s="5" t="inlineStr">
        <is>
          <t>2010-01</t>
        </is>
      </c>
      <c r="B38" s="5" t="inlineStr">
        <is>
          <t>Rest of Europe</t>
        </is>
      </c>
      <c r="C38" s="5" t="inlineStr">
        <is>
          <t>85123A</t>
        </is>
      </c>
      <c r="D38" s="5" t="inlineStr">
        <is>
          <t>WHITE HANGING HEART T-LIGHT HOLDER</t>
        </is>
      </c>
      <c r="E38" s="7" t="n">
        <v>1511.1</v>
      </c>
      <c r="F38" s="8" t="n">
        <v>586</v>
      </c>
      <c r="G38" s="8" t="n">
        <v>6</v>
      </c>
      <c r="H38" s="5" t="n">
        <v>2010</v>
      </c>
      <c r="I38" s="5" t="n">
        <v>1</v>
      </c>
    </row>
    <row r="39">
      <c r="A39" s="5" t="inlineStr">
        <is>
          <t>2010-01</t>
        </is>
      </c>
      <c r="B39" s="5" t="inlineStr">
        <is>
          <t>Rest of Europe</t>
        </is>
      </c>
      <c r="C39" s="5" t="inlineStr">
        <is>
          <t>ALL OTHER PRODUCTS</t>
        </is>
      </c>
      <c r="D39" s="5" t="inlineStr">
        <is>
          <t>All other products</t>
        </is>
      </c>
      <c r="E39" s="7" t="n">
        <v>63382.96</v>
      </c>
      <c r="F39" s="8" t="n">
        <v>99356</v>
      </c>
      <c r="G39" s="8" t="n">
        <v>48</v>
      </c>
      <c r="H39" s="5" t="n">
        <v>2010</v>
      </c>
      <c r="I39" s="5" t="n">
        <v>1</v>
      </c>
    </row>
    <row r="40">
      <c r="A40" s="5" t="inlineStr">
        <is>
          <t>2010-01</t>
        </is>
      </c>
      <c r="B40" s="5" t="inlineStr">
        <is>
          <t>Rest of World</t>
        </is>
      </c>
      <c r="C40" s="5" t="inlineStr">
        <is>
          <t>20725</t>
        </is>
      </c>
      <c r="D40" s="5" t="inlineStr">
        <is>
          <t>LUNCH BAG RED RETROSPOT</t>
        </is>
      </c>
      <c r="E40" s="7" t="n">
        <v>6.6</v>
      </c>
      <c r="F40" s="8" t="n">
        <v>4</v>
      </c>
      <c r="G40" s="8" t="n">
        <v>1</v>
      </c>
      <c r="H40" s="5" t="n">
        <v>2010</v>
      </c>
      <c r="I40" s="5" t="n">
        <v>1</v>
      </c>
    </row>
    <row r="41">
      <c r="A41" s="5" t="inlineStr">
        <is>
          <t>2010-01</t>
        </is>
      </c>
      <c r="B41" s="5" t="inlineStr">
        <is>
          <t>Rest of World</t>
        </is>
      </c>
      <c r="C41" s="5" t="inlineStr">
        <is>
          <t>22086</t>
        </is>
      </c>
      <c r="D41" s="5" t="inlineStr">
        <is>
          <t>PAPER CHAIN KIT 50'S CHRISTMAS</t>
        </is>
      </c>
      <c r="E41" s="7" t="n">
        <v>17.7</v>
      </c>
      <c r="F41" s="8" t="n">
        <v>6</v>
      </c>
      <c r="G41" s="8" t="n">
        <v>1</v>
      </c>
      <c r="H41" s="5" t="n">
        <v>2010</v>
      </c>
      <c r="I41" s="5" t="n">
        <v>1</v>
      </c>
    </row>
    <row r="42">
      <c r="A42" s="5" t="inlineStr">
        <is>
          <t>2010-01</t>
        </is>
      </c>
      <c r="B42" s="5" t="inlineStr">
        <is>
          <t>Rest of World</t>
        </is>
      </c>
      <c r="C42" s="5" t="inlineStr">
        <is>
          <t>85123A</t>
        </is>
      </c>
      <c r="D42" s="5" t="inlineStr">
        <is>
          <t>WHITE HANGING HEART T-LIGHT HOLDER</t>
        </is>
      </c>
      <c r="E42" s="7" t="n">
        <v>20.65</v>
      </c>
      <c r="F42" s="8" t="n">
        <v>7</v>
      </c>
      <c r="G42" s="8" t="n">
        <v>1</v>
      </c>
      <c r="H42" s="5" t="n">
        <v>2010</v>
      </c>
      <c r="I42" s="5" t="n">
        <v>1</v>
      </c>
    </row>
    <row r="43">
      <c r="A43" s="5" t="inlineStr">
        <is>
          <t>2010-01</t>
        </is>
      </c>
      <c r="B43" s="5" t="inlineStr">
        <is>
          <t>Rest of World</t>
        </is>
      </c>
      <c r="C43" s="5" t="inlineStr">
        <is>
          <t>ALL OTHER PRODUCTS</t>
        </is>
      </c>
      <c r="D43" s="5" t="inlineStr">
        <is>
          <t>All other products</t>
        </is>
      </c>
      <c r="E43" s="7" t="n">
        <v>3277.69</v>
      </c>
      <c r="F43" s="8" t="n">
        <v>1709</v>
      </c>
      <c r="G43" s="8" t="n">
        <v>7</v>
      </c>
      <c r="H43" s="5" t="n">
        <v>2010</v>
      </c>
      <c r="I43" s="5" t="n">
        <v>1</v>
      </c>
    </row>
    <row r="44">
      <c r="A44" s="5" t="inlineStr">
        <is>
          <t>2010-01</t>
        </is>
      </c>
      <c r="B44" s="5" t="inlineStr">
        <is>
          <t>United Kingdom</t>
        </is>
      </c>
      <c r="C44" s="5" t="inlineStr">
        <is>
          <t>20725</t>
        </is>
      </c>
      <c r="D44" s="5" t="inlineStr">
        <is>
          <t>LUNCH BAG RED RETROSPOT</t>
        </is>
      </c>
      <c r="E44" s="7" t="n">
        <v>1813.52</v>
      </c>
      <c r="F44" s="8" t="n">
        <v>1145</v>
      </c>
      <c r="G44" s="8" t="n">
        <v>73</v>
      </c>
      <c r="H44" s="5" t="n">
        <v>2010</v>
      </c>
      <c r="I44" s="5" t="n">
        <v>1</v>
      </c>
    </row>
    <row r="45">
      <c r="A45" s="5" t="inlineStr">
        <is>
          <t>2010-01</t>
        </is>
      </c>
      <c r="B45" s="5" t="inlineStr">
        <is>
          <t>United Kingdom</t>
        </is>
      </c>
      <c r="C45" s="5" t="inlineStr">
        <is>
          <t>22086</t>
        </is>
      </c>
      <c r="D45" s="5" t="inlineStr">
        <is>
          <t>PAPER CHAIN KIT 50'S CHRISTMAS</t>
        </is>
      </c>
      <c r="E45" s="7" t="n">
        <v>95.72</v>
      </c>
      <c r="F45" s="8" t="n">
        <v>17</v>
      </c>
      <c r="G45" s="8" t="n">
        <v>10</v>
      </c>
      <c r="H45" s="5" t="n">
        <v>2010</v>
      </c>
      <c r="I45" s="5" t="n">
        <v>1</v>
      </c>
    </row>
    <row r="46">
      <c r="A46" s="5" t="inlineStr">
        <is>
          <t>2010-01</t>
        </is>
      </c>
      <c r="B46" s="5" t="inlineStr">
        <is>
          <t>United Kingdom</t>
        </is>
      </c>
      <c r="C46" s="5" t="inlineStr">
        <is>
          <t>22197</t>
        </is>
      </c>
      <c r="D46" s="5" t="inlineStr">
        <is>
          <t>SMALL POPCORN HOLDER</t>
        </is>
      </c>
      <c r="E46" s="7" t="n">
        <v>563.89</v>
      </c>
      <c r="F46" s="8" t="n">
        <v>706</v>
      </c>
      <c r="G46" s="8" t="n">
        <v>30</v>
      </c>
      <c r="H46" s="5" t="n">
        <v>2010</v>
      </c>
      <c r="I46" s="5" t="n">
        <v>1</v>
      </c>
    </row>
    <row r="47">
      <c r="A47" s="5" t="inlineStr">
        <is>
          <t>2010-01</t>
        </is>
      </c>
      <c r="B47" s="5" t="inlineStr">
        <is>
          <t>United Kingdom</t>
        </is>
      </c>
      <c r="C47" s="5" t="inlineStr">
        <is>
          <t>22386</t>
        </is>
      </c>
      <c r="D47" s="5" t="inlineStr">
        <is>
          <t>JUMBO BAG PINK POLKADOT</t>
        </is>
      </c>
      <c r="E47" s="7" t="n">
        <v>192.3</v>
      </c>
      <c r="F47" s="8" t="n">
        <v>114</v>
      </c>
      <c r="G47" s="8" t="n">
        <v>3</v>
      </c>
      <c r="H47" s="5" t="n">
        <v>2010</v>
      </c>
      <c r="I47" s="5" t="n">
        <v>1</v>
      </c>
    </row>
    <row r="48">
      <c r="A48" s="5" t="inlineStr">
        <is>
          <t>2010-01</t>
        </is>
      </c>
      <c r="B48" s="5" t="inlineStr">
        <is>
          <t>United Kingdom</t>
        </is>
      </c>
      <c r="C48" s="5" t="inlineStr">
        <is>
          <t>47566</t>
        </is>
      </c>
      <c r="D48" s="5" t="inlineStr">
        <is>
          <t>PARTY BUNTING</t>
        </is>
      </c>
      <c r="E48" s="7" t="n">
        <v>1313.8</v>
      </c>
      <c r="F48" s="8" t="n">
        <v>276</v>
      </c>
      <c r="G48" s="8" t="n">
        <v>41</v>
      </c>
      <c r="H48" s="5" t="n">
        <v>2010</v>
      </c>
      <c r="I48" s="5" t="n">
        <v>1</v>
      </c>
    </row>
    <row r="49">
      <c r="A49" s="5" t="inlineStr">
        <is>
          <t>2010-01</t>
        </is>
      </c>
      <c r="B49" s="5" t="inlineStr">
        <is>
          <t>United Kingdom</t>
        </is>
      </c>
      <c r="C49" s="5" t="inlineStr">
        <is>
          <t>79321</t>
        </is>
      </c>
      <c r="D49" s="5" t="inlineStr">
        <is>
          <t>CHILLI LIGHTS</t>
        </is>
      </c>
      <c r="E49" s="7" t="n">
        <v>224.1</v>
      </c>
      <c r="F49" s="8" t="n">
        <v>40</v>
      </c>
      <c r="G49" s="8" t="n">
        <v>10</v>
      </c>
      <c r="H49" s="5" t="n">
        <v>2010</v>
      </c>
      <c r="I49" s="5" t="n">
        <v>1</v>
      </c>
    </row>
    <row r="50">
      <c r="A50" s="5" t="inlineStr">
        <is>
          <t>2010-01</t>
        </is>
      </c>
      <c r="B50" s="5" t="inlineStr">
        <is>
          <t>United Kingdom</t>
        </is>
      </c>
      <c r="C50" s="5" t="inlineStr">
        <is>
          <t>84347</t>
        </is>
      </c>
      <c r="D50" s="5" t="inlineStr">
        <is>
          <t>ROTATING SILVER ANGELS T-LIGHT HLDR</t>
        </is>
      </c>
      <c r="E50" s="7" t="n">
        <v>50.6</v>
      </c>
      <c r="F50" s="8" t="n">
        <v>10</v>
      </c>
      <c r="G50" s="8" t="n">
        <v>3</v>
      </c>
      <c r="H50" s="5" t="n">
        <v>2010</v>
      </c>
      <c r="I50" s="5" t="n">
        <v>1</v>
      </c>
    </row>
    <row r="51">
      <c r="A51" s="5" t="inlineStr">
        <is>
          <t>2010-01</t>
        </is>
      </c>
      <c r="B51" s="5" t="inlineStr">
        <is>
          <t>United Kingdom</t>
        </is>
      </c>
      <c r="C51" s="5" t="inlineStr">
        <is>
          <t>84879</t>
        </is>
      </c>
      <c r="D51" s="5" t="inlineStr">
        <is>
          <t>ASSORTED COLOUR BIRD ORNAMENT</t>
        </is>
      </c>
      <c r="E51" s="7" t="n">
        <v>2335.01</v>
      </c>
      <c r="F51" s="8" t="n">
        <v>1309</v>
      </c>
      <c r="G51" s="8" t="n">
        <v>53</v>
      </c>
      <c r="H51" s="5" t="n">
        <v>2010</v>
      </c>
      <c r="I51" s="5" t="n">
        <v>1</v>
      </c>
    </row>
    <row r="52">
      <c r="A52" s="5" t="inlineStr">
        <is>
          <t>2010-01</t>
        </is>
      </c>
      <c r="B52" s="5" t="inlineStr">
        <is>
          <t>United Kingdom</t>
        </is>
      </c>
      <c r="C52" s="5" t="inlineStr">
        <is>
          <t>85099B</t>
        </is>
      </c>
      <c r="D52" s="5" t="inlineStr">
        <is>
          <t>JUMBO BAG RED RETROSPOT</t>
        </is>
      </c>
      <c r="E52" s="7" t="n">
        <v>4497.81</v>
      </c>
      <c r="F52" s="8" t="n">
        <v>2512</v>
      </c>
      <c r="G52" s="8" t="n">
        <v>96</v>
      </c>
      <c r="H52" s="5" t="n">
        <v>2010</v>
      </c>
      <c r="I52" s="5" t="n">
        <v>1</v>
      </c>
    </row>
    <row r="53">
      <c r="A53" s="5" t="inlineStr">
        <is>
          <t>2010-01</t>
        </is>
      </c>
      <c r="B53" s="5" t="inlineStr">
        <is>
          <t>United Kingdom</t>
        </is>
      </c>
      <c r="C53" s="5" t="inlineStr">
        <is>
          <t>85123A</t>
        </is>
      </c>
      <c r="D53" s="5" t="inlineStr">
        <is>
          <t>WHITE HANGING HEART T-LIGHT HOLDER</t>
        </is>
      </c>
      <c r="E53" s="7" t="n">
        <v>12672.54</v>
      </c>
      <c r="F53" s="8" t="n">
        <v>4701</v>
      </c>
      <c r="G53" s="8" t="n">
        <v>253</v>
      </c>
      <c r="H53" s="5" t="n">
        <v>2010</v>
      </c>
      <c r="I53" s="5" t="n">
        <v>1</v>
      </c>
    </row>
    <row r="54">
      <c r="A54" s="5" t="inlineStr">
        <is>
          <t>2010-01</t>
        </is>
      </c>
      <c r="B54" s="5" t="inlineStr">
        <is>
          <t>United Kingdom</t>
        </is>
      </c>
      <c r="C54" s="5" t="inlineStr">
        <is>
          <t>ALL OTHER PRODUCTS</t>
        </is>
      </c>
      <c r="D54" s="5" t="inlineStr">
        <is>
          <t>All other products</t>
        </is>
      </c>
      <c r="E54" s="7" t="n">
        <v>459336.5</v>
      </c>
      <c r="F54" s="8" t="n">
        <v>245786</v>
      </c>
      <c r="G54" s="8" t="n">
        <v>977</v>
      </c>
      <c r="H54" s="5" t="n">
        <v>2010</v>
      </c>
      <c r="I54" s="5" t="n">
        <v>1</v>
      </c>
    </row>
    <row r="55">
      <c r="A55" s="5" t="inlineStr">
        <is>
          <t>2010-02</t>
        </is>
      </c>
      <c r="B55" s="5" t="inlineStr">
        <is>
          <t>Ireland (EIRE)</t>
        </is>
      </c>
      <c r="C55" s="5" t="inlineStr">
        <is>
          <t>20725</t>
        </is>
      </c>
      <c r="D55" s="5" t="inlineStr">
        <is>
          <t>LUNCH BAG RED RETROSPOT</t>
        </is>
      </c>
      <c r="E55" s="7" t="n">
        <v>145</v>
      </c>
      <c r="F55" s="8" t="n">
        <v>100</v>
      </c>
      <c r="G55" s="8" t="n">
        <v>1</v>
      </c>
      <c r="H55" s="5" t="n">
        <v>2010</v>
      </c>
      <c r="I55" s="5" t="n">
        <v>2</v>
      </c>
    </row>
    <row r="56">
      <c r="A56" s="5" t="inlineStr">
        <is>
          <t>2010-02</t>
        </is>
      </c>
      <c r="B56" s="5" t="inlineStr">
        <is>
          <t>Ireland (EIRE)</t>
        </is>
      </c>
      <c r="C56" s="5" t="inlineStr">
        <is>
          <t>22197</t>
        </is>
      </c>
      <c r="D56" s="5" t="inlineStr">
        <is>
          <t>SMALL POPCORN HOLDER</t>
        </is>
      </c>
      <c r="E56" s="7" t="n">
        <v>72</v>
      </c>
      <c r="F56" s="8" t="n">
        <v>100</v>
      </c>
      <c r="G56" s="8" t="n">
        <v>1</v>
      </c>
      <c r="H56" s="5" t="n">
        <v>2010</v>
      </c>
      <c r="I56" s="5" t="n">
        <v>2</v>
      </c>
    </row>
    <row r="57">
      <c r="A57" s="5" t="inlineStr">
        <is>
          <t>2010-02</t>
        </is>
      </c>
      <c r="B57" s="5" t="inlineStr">
        <is>
          <t>Ireland (EIRE)</t>
        </is>
      </c>
      <c r="C57" s="5" t="inlineStr">
        <is>
          <t>22386</t>
        </is>
      </c>
      <c r="D57" s="5" t="inlineStr">
        <is>
          <t>JUMBO BAG PINK POLKADOT</t>
        </is>
      </c>
      <c r="E57" s="7" t="n">
        <v>19.5</v>
      </c>
      <c r="F57" s="8" t="n">
        <v>10</v>
      </c>
      <c r="G57" s="8" t="n">
        <v>1</v>
      </c>
      <c r="H57" s="5" t="n">
        <v>2010</v>
      </c>
      <c r="I57" s="5" t="n">
        <v>2</v>
      </c>
    </row>
    <row r="58">
      <c r="A58" s="5" t="inlineStr">
        <is>
          <t>2010-02</t>
        </is>
      </c>
      <c r="B58" s="5" t="inlineStr">
        <is>
          <t>Ireland (EIRE)</t>
        </is>
      </c>
      <c r="C58" s="5" t="inlineStr">
        <is>
          <t>84879</t>
        </is>
      </c>
      <c r="D58" s="5" t="inlineStr">
        <is>
          <t>ASSORTED COLOUR BIRD ORNAMENT</t>
        </is>
      </c>
      <c r="E58" s="7" t="n">
        <v>13.52</v>
      </c>
      <c r="F58" s="8" t="n">
        <v>8</v>
      </c>
      <c r="G58" s="8" t="n">
        <v>1</v>
      </c>
      <c r="H58" s="5" t="n">
        <v>2010</v>
      </c>
      <c r="I58" s="5" t="n">
        <v>2</v>
      </c>
    </row>
    <row r="59">
      <c r="A59" s="5" t="inlineStr">
        <is>
          <t>2010-02</t>
        </is>
      </c>
      <c r="B59" s="5" t="inlineStr">
        <is>
          <t>Ireland (EIRE)</t>
        </is>
      </c>
      <c r="C59" s="5" t="inlineStr">
        <is>
          <t>85123A</t>
        </is>
      </c>
      <c r="D59" s="5" t="inlineStr">
        <is>
          <t>WHITE HANGING HEART T-LIGHT HOLDER</t>
        </is>
      </c>
      <c r="E59" s="7" t="n">
        <v>152.4</v>
      </c>
      <c r="F59" s="8" t="n">
        <v>56</v>
      </c>
      <c r="G59" s="8" t="n">
        <v>3</v>
      </c>
      <c r="H59" s="5" t="n">
        <v>2010</v>
      </c>
      <c r="I59" s="5" t="n">
        <v>2</v>
      </c>
    </row>
    <row r="60">
      <c r="A60" s="5" t="inlineStr">
        <is>
          <t>2010-02</t>
        </is>
      </c>
      <c r="B60" s="5" t="inlineStr">
        <is>
          <t>Ireland (EIRE)</t>
        </is>
      </c>
      <c r="C60" s="5" t="inlineStr">
        <is>
          <t>ALL OTHER PRODUCTS</t>
        </is>
      </c>
      <c r="D60" s="5" t="inlineStr">
        <is>
          <t>All other products</t>
        </is>
      </c>
      <c r="E60" s="7" t="n">
        <v>20012.78</v>
      </c>
      <c r="F60" s="8" t="n">
        <v>11352</v>
      </c>
      <c r="G60" s="8" t="n">
        <v>16</v>
      </c>
      <c r="H60" s="5" t="n">
        <v>2010</v>
      </c>
      <c r="I60" s="5" t="n">
        <v>2</v>
      </c>
    </row>
    <row r="61">
      <c r="A61" s="5" t="inlineStr">
        <is>
          <t>2010-02</t>
        </is>
      </c>
      <c r="B61" s="5" t="inlineStr">
        <is>
          <t>Rest of Europe</t>
        </is>
      </c>
      <c r="C61" s="5" t="inlineStr">
        <is>
          <t>20725</t>
        </is>
      </c>
      <c r="D61" s="5" t="inlineStr">
        <is>
          <t>LUNCH BAG RED RETROSPOT</t>
        </is>
      </c>
      <c r="E61" s="7" t="n">
        <v>422</v>
      </c>
      <c r="F61" s="8" t="n">
        <v>280</v>
      </c>
      <c r="G61" s="8" t="n">
        <v>8</v>
      </c>
      <c r="H61" s="5" t="n">
        <v>2010</v>
      </c>
      <c r="I61" s="5" t="n">
        <v>2</v>
      </c>
    </row>
    <row r="62">
      <c r="A62" s="5" t="inlineStr">
        <is>
          <t>2010-02</t>
        </is>
      </c>
      <c r="B62" s="5" t="inlineStr">
        <is>
          <t>Rest of Europe</t>
        </is>
      </c>
      <c r="C62" s="5" t="inlineStr">
        <is>
          <t>22386</t>
        </is>
      </c>
      <c r="D62" s="5" t="inlineStr">
        <is>
          <t>JUMBO BAG PINK POLKADOT</t>
        </is>
      </c>
      <c r="E62" s="7" t="n">
        <v>526.95</v>
      </c>
      <c r="F62" s="8" t="n">
        <v>301</v>
      </c>
      <c r="G62" s="8" t="n">
        <v>9</v>
      </c>
      <c r="H62" s="5" t="n">
        <v>2010</v>
      </c>
      <c r="I62" s="5" t="n">
        <v>2</v>
      </c>
    </row>
    <row r="63">
      <c r="A63" s="5" t="inlineStr">
        <is>
          <t>2010-02</t>
        </is>
      </c>
      <c r="B63" s="5" t="inlineStr">
        <is>
          <t>Rest of Europe</t>
        </is>
      </c>
      <c r="C63" s="5" t="inlineStr">
        <is>
          <t>47566</t>
        </is>
      </c>
      <c r="D63" s="5" t="inlineStr">
        <is>
          <t>PARTY BUNTING</t>
        </is>
      </c>
      <c r="E63" s="7" t="n">
        <v>46.5</v>
      </c>
      <c r="F63" s="8" t="n">
        <v>10</v>
      </c>
      <c r="G63" s="8" t="n">
        <v>2</v>
      </c>
      <c r="H63" s="5" t="n">
        <v>2010</v>
      </c>
      <c r="I63" s="5" t="n">
        <v>2</v>
      </c>
    </row>
    <row r="64">
      <c r="A64" s="5" t="inlineStr">
        <is>
          <t>2010-02</t>
        </is>
      </c>
      <c r="B64" s="5" t="inlineStr">
        <is>
          <t>Rest of Europe</t>
        </is>
      </c>
      <c r="C64" s="5" t="inlineStr">
        <is>
          <t>84879</t>
        </is>
      </c>
      <c r="D64" s="5" t="inlineStr">
        <is>
          <t>ASSORTED COLOUR BIRD ORNAMENT</t>
        </is>
      </c>
      <c r="E64" s="7" t="n">
        <v>81.12</v>
      </c>
      <c r="F64" s="8" t="n">
        <v>48</v>
      </c>
      <c r="G64" s="8" t="n">
        <v>2</v>
      </c>
      <c r="H64" s="5" t="n">
        <v>2010</v>
      </c>
      <c r="I64" s="5" t="n">
        <v>2</v>
      </c>
    </row>
    <row r="65">
      <c r="A65" s="5" t="inlineStr">
        <is>
          <t>2010-02</t>
        </is>
      </c>
      <c r="B65" s="5" t="inlineStr">
        <is>
          <t>Rest of Europe</t>
        </is>
      </c>
      <c r="C65" s="5" t="inlineStr">
        <is>
          <t>85099B</t>
        </is>
      </c>
      <c r="D65" s="5" t="inlineStr">
        <is>
          <t>JUMBO BAG RED RETROSPOT</t>
        </is>
      </c>
      <c r="E65" s="7" t="n">
        <v>97.5</v>
      </c>
      <c r="F65" s="8" t="n">
        <v>50</v>
      </c>
      <c r="G65" s="8" t="n">
        <v>3</v>
      </c>
      <c r="H65" s="5" t="n">
        <v>2010</v>
      </c>
      <c r="I65" s="5" t="n">
        <v>2</v>
      </c>
    </row>
    <row r="66">
      <c r="A66" s="5" t="inlineStr">
        <is>
          <t>2010-02</t>
        </is>
      </c>
      <c r="B66" s="5" t="inlineStr">
        <is>
          <t>Rest of Europe</t>
        </is>
      </c>
      <c r="C66" s="5" t="inlineStr">
        <is>
          <t>85123A</t>
        </is>
      </c>
      <c r="D66" s="5" t="inlineStr">
        <is>
          <t>WHITE HANGING HEART T-LIGHT HOLDER</t>
        </is>
      </c>
      <c r="E66" s="7" t="n">
        <v>525</v>
      </c>
      <c r="F66" s="8" t="n">
        <v>204</v>
      </c>
      <c r="G66" s="8" t="n">
        <v>2</v>
      </c>
      <c r="H66" s="5" t="n">
        <v>2010</v>
      </c>
      <c r="I66" s="5" t="n">
        <v>2</v>
      </c>
    </row>
    <row r="67">
      <c r="A67" s="5" t="inlineStr">
        <is>
          <t>2010-02</t>
        </is>
      </c>
      <c r="B67" s="5" t="inlineStr">
        <is>
          <t>Rest of Europe</t>
        </is>
      </c>
      <c r="C67" s="5" t="inlineStr">
        <is>
          <t>ALL OTHER PRODUCTS</t>
        </is>
      </c>
      <c r="D67" s="5" t="inlineStr">
        <is>
          <t>All other products</t>
        </is>
      </c>
      <c r="E67" s="7" t="n">
        <v>64875.65</v>
      </c>
      <c r="F67" s="8" t="n">
        <v>123278</v>
      </c>
      <c r="G67" s="8" t="n">
        <v>73</v>
      </c>
      <c r="H67" s="5" t="n">
        <v>2010</v>
      </c>
      <c r="I67" s="5" t="n">
        <v>2</v>
      </c>
    </row>
    <row r="68">
      <c r="A68" s="5" t="inlineStr">
        <is>
          <t>2010-02</t>
        </is>
      </c>
      <c r="B68" s="5" t="inlineStr">
        <is>
          <t>Rest of World</t>
        </is>
      </c>
      <c r="C68" s="5" t="inlineStr">
        <is>
          <t>20725</t>
        </is>
      </c>
      <c r="D68" s="5" t="inlineStr">
        <is>
          <t>LUNCH BAG RED RETROSPOT</t>
        </is>
      </c>
      <c r="E68" s="7" t="n">
        <v>18.15</v>
      </c>
      <c r="F68" s="8" t="n">
        <v>11</v>
      </c>
      <c r="G68" s="8" t="n">
        <v>2</v>
      </c>
      <c r="H68" s="5" t="n">
        <v>2010</v>
      </c>
      <c r="I68" s="5" t="n">
        <v>2</v>
      </c>
    </row>
    <row r="69">
      <c r="A69" s="5" t="inlineStr">
        <is>
          <t>2010-02</t>
        </is>
      </c>
      <c r="B69" s="5" t="inlineStr">
        <is>
          <t>Rest of World</t>
        </is>
      </c>
      <c r="C69" s="5" t="inlineStr">
        <is>
          <t>85123A</t>
        </is>
      </c>
      <c r="D69" s="5" t="inlineStr">
        <is>
          <t>WHITE HANGING HEART T-LIGHT HOLDER</t>
        </is>
      </c>
      <c r="E69" s="7" t="n">
        <v>35.4</v>
      </c>
      <c r="F69" s="8" t="n">
        <v>12</v>
      </c>
      <c r="G69" s="8" t="n">
        <v>2</v>
      </c>
      <c r="H69" s="5" t="n">
        <v>2010</v>
      </c>
      <c r="I69" s="5" t="n">
        <v>2</v>
      </c>
    </row>
    <row r="70">
      <c r="A70" s="5" t="inlineStr">
        <is>
          <t>2010-02</t>
        </is>
      </c>
      <c r="B70" s="5" t="inlineStr">
        <is>
          <t>Rest of World</t>
        </is>
      </c>
      <c r="C70" s="5" t="inlineStr">
        <is>
          <t>ALL OTHER PRODUCTS</t>
        </is>
      </c>
      <c r="D70" s="5" t="inlineStr">
        <is>
          <t>All other products</t>
        </is>
      </c>
      <c r="E70" s="7" t="n">
        <v>4859.21</v>
      </c>
      <c r="F70" s="8" t="n">
        <v>3190</v>
      </c>
      <c r="G70" s="8" t="n">
        <v>10</v>
      </c>
      <c r="H70" s="5" t="n">
        <v>2010</v>
      </c>
      <c r="I70" s="5" t="n">
        <v>2</v>
      </c>
    </row>
    <row r="71">
      <c r="A71" s="5" t="inlineStr">
        <is>
          <t>2010-02</t>
        </is>
      </c>
      <c r="B71" s="5" t="inlineStr">
        <is>
          <t>United Kingdom</t>
        </is>
      </c>
      <c r="C71" s="5" t="inlineStr">
        <is>
          <t>20725</t>
        </is>
      </c>
      <c r="D71" s="5" t="inlineStr">
        <is>
          <t>LUNCH BAG RED RETROSPOT</t>
        </is>
      </c>
      <c r="E71" s="7" t="n">
        <v>1574.93</v>
      </c>
      <c r="F71" s="8" t="n">
        <v>961</v>
      </c>
      <c r="G71" s="8" t="n">
        <v>77</v>
      </c>
      <c r="H71" s="5" t="n">
        <v>2010</v>
      </c>
      <c r="I71" s="5" t="n">
        <v>2</v>
      </c>
    </row>
    <row r="72">
      <c r="A72" s="5" t="inlineStr">
        <is>
          <t>2010-02</t>
        </is>
      </c>
      <c r="B72" s="5" t="inlineStr">
        <is>
          <t>United Kingdom</t>
        </is>
      </c>
      <c r="C72" s="5" t="inlineStr">
        <is>
          <t>22197</t>
        </is>
      </c>
      <c r="D72" s="5" t="inlineStr">
        <is>
          <t>SMALL POPCORN HOLDER</t>
        </is>
      </c>
      <c r="E72" s="7" t="n">
        <v>1101.81</v>
      </c>
      <c r="F72" s="8" t="n">
        <v>1475</v>
      </c>
      <c r="G72" s="8" t="n">
        <v>30</v>
      </c>
      <c r="H72" s="5" t="n">
        <v>2010</v>
      </c>
      <c r="I72" s="5" t="n">
        <v>2</v>
      </c>
    </row>
    <row r="73">
      <c r="A73" s="5" t="inlineStr">
        <is>
          <t>2010-02</t>
        </is>
      </c>
      <c r="B73" s="5" t="inlineStr">
        <is>
          <t>United Kingdom</t>
        </is>
      </c>
      <c r="C73" s="5" t="inlineStr">
        <is>
          <t>22386</t>
        </is>
      </c>
      <c r="D73" s="5" t="inlineStr">
        <is>
          <t>JUMBO BAG PINK POLKADOT</t>
        </is>
      </c>
      <c r="E73" s="7" t="n">
        <v>2881.89</v>
      </c>
      <c r="F73" s="8" t="n">
        <v>1607</v>
      </c>
      <c r="G73" s="8" t="n">
        <v>92</v>
      </c>
      <c r="H73" s="5" t="n">
        <v>2010</v>
      </c>
      <c r="I73" s="5" t="n">
        <v>2</v>
      </c>
    </row>
    <row r="74">
      <c r="A74" s="5" t="inlineStr">
        <is>
          <t>2010-02</t>
        </is>
      </c>
      <c r="B74" s="5" t="inlineStr">
        <is>
          <t>United Kingdom</t>
        </is>
      </c>
      <c r="C74" s="5" t="inlineStr">
        <is>
          <t>47566</t>
        </is>
      </c>
      <c r="D74" s="5" t="inlineStr">
        <is>
          <t>PARTY BUNTING</t>
        </is>
      </c>
      <c r="E74" s="7" t="n">
        <v>1638.47</v>
      </c>
      <c r="F74" s="8" t="n">
        <v>331</v>
      </c>
      <c r="G74" s="8" t="n">
        <v>64</v>
      </c>
      <c r="H74" s="5" t="n">
        <v>2010</v>
      </c>
      <c r="I74" s="5" t="n">
        <v>2</v>
      </c>
    </row>
    <row r="75">
      <c r="A75" s="5" t="inlineStr">
        <is>
          <t>2010-02</t>
        </is>
      </c>
      <c r="B75" s="5" t="inlineStr">
        <is>
          <t>United Kingdom</t>
        </is>
      </c>
      <c r="C75" s="5" t="inlineStr">
        <is>
          <t>79321</t>
        </is>
      </c>
      <c r="D75" s="5" t="inlineStr">
        <is>
          <t>CHILLI LIGHTS</t>
        </is>
      </c>
      <c r="E75" s="7" t="n">
        <v>113.25</v>
      </c>
      <c r="F75" s="8" t="n">
        <v>25</v>
      </c>
      <c r="G75" s="8" t="n">
        <v>5</v>
      </c>
      <c r="H75" s="5" t="n">
        <v>2010</v>
      </c>
      <c r="I75" s="5" t="n">
        <v>2</v>
      </c>
    </row>
    <row r="76">
      <c r="A76" s="5" t="inlineStr">
        <is>
          <t>2010-02</t>
        </is>
      </c>
      <c r="B76" s="5" t="inlineStr">
        <is>
          <t>United Kingdom</t>
        </is>
      </c>
      <c r="C76" s="5" t="inlineStr">
        <is>
          <t>84347</t>
        </is>
      </c>
      <c r="D76" s="5" t="inlineStr">
        <is>
          <t>ROTATING SILVER ANGELS T-LIGHT HLDR</t>
        </is>
      </c>
      <c r="E76" s="7" t="n">
        <v>15.18</v>
      </c>
      <c r="F76" s="8" t="n">
        <v>3</v>
      </c>
      <c r="G76" s="8" t="n">
        <v>1</v>
      </c>
      <c r="H76" s="5" t="n">
        <v>2010</v>
      </c>
      <c r="I76" s="5" t="n">
        <v>2</v>
      </c>
    </row>
    <row r="77">
      <c r="A77" s="5" t="inlineStr">
        <is>
          <t>2010-02</t>
        </is>
      </c>
      <c r="B77" s="5" t="inlineStr">
        <is>
          <t>United Kingdom</t>
        </is>
      </c>
      <c r="C77" s="5" t="inlineStr">
        <is>
          <t>84879</t>
        </is>
      </c>
      <c r="D77" s="5" t="inlineStr">
        <is>
          <t>ASSORTED COLOUR BIRD ORNAMENT</t>
        </is>
      </c>
      <c r="E77" s="7" t="n">
        <v>2591.39</v>
      </c>
      <c r="F77" s="8" t="n">
        <v>1603</v>
      </c>
      <c r="G77" s="8" t="n">
        <v>62</v>
      </c>
      <c r="H77" s="5" t="n">
        <v>2010</v>
      </c>
      <c r="I77" s="5" t="n">
        <v>2</v>
      </c>
    </row>
    <row r="78">
      <c r="A78" s="5" t="inlineStr">
        <is>
          <t>2010-02</t>
        </is>
      </c>
      <c r="B78" s="5" t="inlineStr">
        <is>
          <t>United Kingdom</t>
        </is>
      </c>
      <c r="C78" s="5" t="inlineStr">
        <is>
          <t>85099B</t>
        </is>
      </c>
      <c r="D78" s="5" t="inlineStr">
        <is>
          <t>JUMBO BAG RED RETROSPOT</t>
        </is>
      </c>
      <c r="E78" s="7" t="n">
        <v>4618.8</v>
      </c>
      <c r="F78" s="8" t="n">
        <v>2602</v>
      </c>
      <c r="G78" s="8" t="n">
        <v>113</v>
      </c>
      <c r="H78" s="5" t="n">
        <v>2010</v>
      </c>
      <c r="I78" s="5" t="n">
        <v>2</v>
      </c>
    </row>
    <row r="79">
      <c r="A79" s="5" t="inlineStr">
        <is>
          <t>2010-02</t>
        </is>
      </c>
      <c r="B79" s="5" t="inlineStr">
        <is>
          <t>United Kingdom</t>
        </is>
      </c>
      <c r="C79" s="5" t="inlineStr">
        <is>
          <t>85123A</t>
        </is>
      </c>
      <c r="D79" s="5" t="inlineStr">
        <is>
          <t>WHITE HANGING HEART T-LIGHT HOLDER</t>
        </is>
      </c>
      <c r="E79" s="7" t="n">
        <v>7317.77</v>
      </c>
      <c r="F79" s="8" t="n">
        <v>2639</v>
      </c>
      <c r="G79" s="8" t="n">
        <v>198</v>
      </c>
      <c r="H79" s="5" t="n">
        <v>2010</v>
      </c>
      <c r="I79" s="5" t="n">
        <v>2</v>
      </c>
    </row>
    <row r="80">
      <c r="A80" s="5" t="inlineStr">
        <is>
          <t>2010-02</t>
        </is>
      </c>
      <c r="B80" s="5" t="inlineStr">
        <is>
          <t>United Kingdom</t>
        </is>
      </c>
      <c r="C80" s="5" t="inlineStr">
        <is>
          <t>ALL OTHER PRODUCTS</t>
        </is>
      </c>
      <c r="D80" s="5" t="inlineStr">
        <is>
          <t>All other products</t>
        </is>
      </c>
      <c r="E80" s="7" t="n">
        <v>424153.5</v>
      </c>
      <c r="F80" s="8" t="n">
        <v>231364</v>
      </c>
      <c r="G80" s="8" t="n">
        <v>1089</v>
      </c>
      <c r="H80" s="5" t="n">
        <v>2010</v>
      </c>
      <c r="I80" s="5" t="n">
        <v>2</v>
      </c>
    </row>
    <row r="81">
      <c r="A81" s="5" t="inlineStr">
        <is>
          <t>2010-03</t>
        </is>
      </c>
      <c r="B81" s="5" t="inlineStr">
        <is>
          <t>Ireland (EIRE)</t>
        </is>
      </c>
      <c r="C81" s="5" t="inlineStr">
        <is>
          <t>20725</t>
        </is>
      </c>
      <c r="D81" s="5" t="inlineStr">
        <is>
          <t>LUNCH BAG RED RETROSPOT</t>
        </is>
      </c>
      <c r="E81" s="7" t="n">
        <v>161.5</v>
      </c>
      <c r="F81" s="8" t="n">
        <v>110</v>
      </c>
      <c r="G81" s="8" t="n">
        <v>2</v>
      </c>
      <c r="H81" s="5" t="n">
        <v>2010</v>
      </c>
      <c r="I81" s="5" t="n">
        <v>3</v>
      </c>
    </row>
    <row r="82">
      <c r="A82" s="5" t="inlineStr">
        <is>
          <t>2010-03</t>
        </is>
      </c>
      <c r="B82" s="5" t="inlineStr">
        <is>
          <t>Ireland (EIRE)</t>
        </is>
      </c>
      <c r="C82" s="5" t="inlineStr">
        <is>
          <t>22197</t>
        </is>
      </c>
      <c r="D82" s="5" t="inlineStr">
        <is>
          <t>SMALL POPCORN HOLDER</t>
        </is>
      </c>
      <c r="E82" s="7" t="n">
        <v>20.4</v>
      </c>
      <c r="F82" s="8" t="n">
        <v>24</v>
      </c>
      <c r="G82" s="8" t="n">
        <v>2</v>
      </c>
      <c r="H82" s="5" t="n">
        <v>2010</v>
      </c>
      <c r="I82" s="5" t="n">
        <v>3</v>
      </c>
    </row>
    <row r="83">
      <c r="A83" s="5" t="inlineStr">
        <is>
          <t>2010-03</t>
        </is>
      </c>
      <c r="B83" s="5" t="inlineStr">
        <is>
          <t>Ireland (EIRE)</t>
        </is>
      </c>
      <c r="C83" s="5" t="inlineStr">
        <is>
          <t>22386</t>
        </is>
      </c>
      <c r="D83" s="5" t="inlineStr">
        <is>
          <t>JUMBO BAG PINK POLKADOT</t>
        </is>
      </c>
      <c r="E83" s="7" t="n">
        <v>19.5</v>
      </c>
      <c r="F83" s="8" t="n">
        <v>10</v>
      </c>
      <c r="G83" s="8" t="n">
        <v>1</v>
      </c>
      <c r="H83" s="5" t="n">
        <v>2010</v>
      </c>
      <c r="I83" s="5" t="n">
        <v>3</v>
      </c>
    </row>
    <row r="84">
      <c r="A84" s="5" t="inlineStr">
        <is>
          <t>2010-03</t>
        </is>
      </c>
      <c r="B84" s="5" t="inlineStr">
        <is>
          <t>Ireland (EIRE)</t>
        </is>
      </c>
      <c r="C84" s="5" t="inlineStr">
        <is>
          <t>22423</t>
        </is>
      </c>
      <c r="D84" s="5" t="inlineStr">
        <is>
          <t>REGENCY CAKESTAND 3 TIER</t>
        </is>
      </c>
      <c r="E84" s="7" t="n">
        <v>200.7</v>
      </c>
      <c r="F84" s="8" t="n">
        <v>18</v>
      </c>
      <c r="G84" s="8" t="n">
        <v>2</v>
      </c>
      <c r="H84" s="5" t="n">
        <v>2010</v>
      </c>
      <c r="I84" s="5" t="n">
        <v>3</v>
      </c>
    </row>
    <row r="85">
      <c r="A85" s="5" t="inlineStr">
        <is>
          <t>2010-03</t>
        </is>
      </c>
      <c r="B85" s="5" t="inlineStr">
        <is>
          <t>Ireland (EIRE)</t>
        </is>
      </c>
      <c r="C85" s="5" t="inlineStr">
        <is>
          <t>47566</t>
        </is>
      </c>
      <c r="D85" s="5" t="inlineStr">
        <is>
          <t>PARTY BUNTING</t>
        </is>
      </c>
      <c r="E85" s="7" t="n">
        <v>23.25</v>
      </c>
      <c r="F85" s="8" t="n">
        <v>5</v>
      </c>
      <c r="G85" s="8" t="n">
        <v>1</v>
      </c>
      <c r="H85" s="5" t="n">
        <v>2010</v>
      </c>
      <c r="I85" s="5" t="n">
        <v>3</v>
      </c>
    </row>
    <row r="86">
      <c r="A86" s="5" t="inlineStr">
        <is>
          <t>2010-03</t>
        </is>
      </c>
      <c r="B86" s="5" t="inlineStr">
        <is>
          <t>Ireland (EIRE)</t>
        </is>
      </c>
      <c r="C86" s="5" t="inlineStr">
        <is>
          <t>84879</t>
        </is>
      </c>
      <c r="D86" s="5" t="inlineStr">
        <is>
          <t>ASSORTED COLOUR BIRD ORNAMENT</t>
        </is>
      </c>
      <c r="E86" s="7" t="n">
        <v>27.04</v>
      </c>
      <c r="F86" s="8" t="n">
        <v>16</v>
      </c>
      <c r="G86" s="8" t="n">
        <v>2</v>
      </c>
      <c r="H86" s="5" t="n">
        <v>2010</v>
      </c>
      <c r="I86" s="5" t="n">
        <v>3</v>
      </c>
    </row>
    <row r="87">
      <c r="A87" s="5" t="inlineStr">
        <is>
          <t>2010-03</t>
        </is>
      </c>
      <c r="B87" s="5" t="inlineStr">
        <is>
          <t>Ireland (EIRE)</t>
        </is>
      </c>
      <c r="C87" s="5" t="inlineStr">
        <is>
          <t>85099B</t>
        </is>
      </c>
      <c r="D87" s="5" t="inlineStr">
        <is>
          <t>JUMBO BAG RED RETROSPOT</t>
        </is>
      </c>
      <c r="E87" s="7" t="n">
        <v>58.5</v>
      </c>
      <c r="F87" s="8" t="n">
        <v>30</v>
      </c>
      <c r="G87" s="8" t="n">
        <v>3</v>
      </c>
      <c r="H87" s="5" t="n">
        <v>2010</v>
      </c>
      <c r="I87" s="5" t="n">
        <v>3</v>
      </c>
    </row>
    <row r="88">
      <c r="A88" s="5" t="inlineStr">
        <is>
          <t>2010-03</t>
        </is>
      </c>
      <c r="B88" s="5" t="inlineStr">
        <is>
          <t>Ireland (EIRE)</t>
        </is>
      </c>
      <c r="C88" s="5" t="inlineStr">
        <is>
          <t>85123A</t>
        </is>
      </c>
      <c r="D88" s="5" t="inlineStr">
        <is>
          <t>WHITE HANGING HEART T-LIGHT HOLDER</t>
        </is>
      </c>
      <c r="E88" s="7" t="n">
        <v>251.7</v>
      </c>
      <c r="F88" s="8" t="n">
        <v>94</v>
      </c>
      <c r="G88" s="8" t="n">
        <v>4</v>
      </c>
      <c r="H88" s="5" t="n">
        <v>2010</v>
      </c>
      <c r="I88" s="5" t="n">
        <v>3</v>
      </c>
    </row>
    <row r="89">
      <c r="A89" s="5" t="inlineStr">
        <is>
          <t>2010-03</t>
        </is>
      </c>
      <c r="B89" s="5" t="inlineStr">
        <is>
          <t>Ireland (EIRE)</t>
        </is>
      </c>
      <c r="C89" s="5" t="inlineStr">
        <is>
          <t>ALL OTHER PRODUCTS</t>
        </is>
      </c>
      <c r="D89" s="5" t="inlineStr">
        <is>
          <t>All other products</t>
        </is>
      </c>
      <c r="E89" s="7" t="n">
        <v>21015.71</v>
      </c>
      <c r="F89" s="8" t="n">
        <v>14481</v>
      </c>
      <c r="G89" s="8" t="n">
        <v>24</v>
      </c>
      <c r="H89" s="5" t="n">
        <v>2010</v>
      </c>
      <c r="I89" s="5" t="n">
        <v>3</v>
      </c>
    </row>
    <row r="90">
      <c r="A90" s="5" t="inlineStr">
        <is>
          <t>2010-03</t>
        </is>
      </c>
      <c r="B90" s="5" t="inlineStr">
        <is>
          <t>Rest of Europe</t>
        </is>
      </c>
      <c r="C90" s="5" t="inlineStr">
        <is>
          <t>20725</t>
        </is>
      </c>
      <c r="D90" s="5" t="inlineStr">
        <is>
          <t>LUNCH BAG RED RETROSPOT</t>
        </is>
      </c>
      <c r="E90" s="7" t="n">
        <v>49.5</v>
      </c>
      <c r="F90" s="8" t="n">
        <v>30</v>
      </c>
      <c r="G90" s="8" t="n">
        <v>3</v>
      </c>
      <c r="H90" s="5" t="n">
        <v>2010</v>
      </c>
      <c r="I90" s="5" t="n">
        <v>3</v>
      </c>
    </row>
    <row r="91">
      <c r="A91" s="5" t="inlineStr">
        <is>
          <t>2010-03</t>
        </is>
      </c>
      <c r="B91" s="5" t="inlineStr">
        <is>
          <t>Rest of Europe</t>
        </is>
      </c>
      <c r="C91" s="5" t="inlineStr">
        <is>
          <t>22197</t>
        </is>
      </c>
      <c r="D91" s="5" t="inlineStr">
        <is>
          <t>SMALL POPCORN HOLDER</t>
        </is>
      </c>
      <c r="E91" s="7" t="n">
        <v>51</v>
      </c>
      <c r="F91" s="8" t="n">
        <v>60</v>
      </c>
      <c r="G91" s="8" t="n">
        <v>2</v>
      </c>
      <c r="H91" s="5" t="n">
        <v>2010</v>
      </c>
      <c r="I91" s="5" t="n">
        <v>3</v>
      </c>
    </row>
    <row r="92">
      <c r="A92" s="5" t="inlineStr">
        <is>
          <t>2010-03</t>
        </is>
      </c>
      <c r="B92" s="5" t="inlineStr">
        <is>
          <t>Rest of Europe</t>
        </is>
      </c>
      <c r="C92" s="5" t="inlineStr">
        <is>
          <t>22386</t>
        </is>
      </c>
      <c r="D92" s="5" t="inlineStr">
        <is>
          <t>JUMBO BAG PINK POLKADOT</t>
        </is>
      </c>
      <c r="E92" s="7" t="n">
        <v>583.5</v>
      </c>
      <c r="F92" s="8" t="n">
        <v>330</v>
      </c>
      <c r="G92" s="8" t="n">
        <v>10</v>
      </c>
      <c r="H92" s="5" t="n">
        <v>2010</v>
      </c>
      <c r="I92" s="5" t="n">
        <v>3</v>
      </c>
    </row>
    <row r="93">
      <c r="A93" s="5" t="inlineStr">
        <is>
          <t>2010-03</t>
        </is>
      </c>
      <c r="B93" s="5" t="inlineStr">
        <is>
          <t>Rest of Europe</t>
        </is>
      </c>
      <c r="C93" s="5" t="inlineStr">
        <is>
          <t>22423</t>
        </is>
      </c>
      <c r="D93" s="5" t="inlineStr">
        <is>
          <t>REGENCY CAKESTAND 3 TIER</t>
        </is>
      </c>
      <c r="E93" s="7" t="n">
        <v>1191.45</v>
      </c>
      <c r="F93" s="8" t="n">
        <v>107</v>
      </c>
      <c r="G93" s="8" t="n">
        <v>5</v>
      </c>
      <c r="H93" s="5" t="n">
        <v>2010</v>
      </c>
      <c r="I93" s="5" t="n">
        <v>3</v>
      </c>
    </row>
    <row r="94">
      <c r="A94" s="5" t="inlineStr">
        <is>
          <t>2010-03</t>
        </is>
      </c>
      <c r="B94" s="5" t="inlineStr">
        <is>
          <t>Rest of Europe</t>
        </is>
      </c>
      <c r="C94" s="5" t="inlineStr">
        <is>
          <t>47566</t>
        </is>
      </c>
      <c r="D94" s="5" t="inlineStr">
        <is>
          <t>PARTY BUNTING</t>
        </is>
      </c>
      <c r="E94" s="7" t="n">
        <v>69.75</v>
      </c>
      <c r="F94" s="8" t="n">
        <v>15</v>
      </c>
      <c r="G94" s="8" t="n">
        <v>2</v>
      </c>
      <c r="H94" s="5" t="n">
        <v>2010</v>
      </c>
      <c r="I94" s="5" t="n">
        <v>3</v>
      </c>
    </row>
    <row r="95">
      <c r="A95" s="5" t="inlineStr">
        <is>
          <t>2010-03</t>
        </is>
      </c>
      <c r="B95" s="5" t="inlineStr">
        <is>
          <t>Rest of Europe</t>
        </is>
      </c>
      <c r="C95" s="5" t="inlineStr">
        <is>
          <t>84347</t>
        </is>
      </c>
      <c r="D95" s="5" t="inlineStr">
        <is>
          <t>ROTATING SILVER ANGELS T-LIGHT HLDR</t>
        </is>
      </c>
      <c r="E95" s="7" t="n">
        <v>10.2</v>
      </c>
      <c r="F95" s="8" t="n">
        <v>4</v>
      </c>
      <c r="G95" s="8" t="n">
        <v>1</v>
      </c>
      <c r="H95" s="5" t="n">
        <v>2010</v>
      </c>
      <c r="I95" s="5" t="n">
        <v>3</v>
      </c>
    </row>
    <row r="96">
      <c r="A96" s="5" t="inlineStr">
        <is>
          <t>2010-03</t>
        </is>
      </c>
      <c r="B96" s="5" t="inlineStr">
        <is>
          <t>Rest of Europe</t>
        </is>
      </c>
      <c r="C96" s="5" t="inlineStr">
        <is>
          <t>84879</t>
        </is>
      </c>
      <c r="D96" s="5" t="inlineStr">
        <is>
          <t>ASSORTED COLOUR BIRD ORNAMENT</t>
        </is>
      </c>
      <c r="E96" s="7" t="n">
        <v>1209.76</v>
      </c>
      <c r="F96" s="8" t="n">
        <v>784</v>
      </c>
      <c r="G96" s="8" t="n">
        <v>11</v>
      </c>
      <c r="H96" s="5" t="n">
        <v>2010</v>
      </c>
      <c r="I96" s="5" t="n">
        <v>3</v>
      </c>
    </row>
    <row r="97">
      <c r="A97" s="5" t="inlineStr">
        <is>
          <t>2010-03</t>
        </is>
      </c>
      <c r="B97" s="5" t="inlineStr">
        <is>
          <t>Rest of Europe</t>
        </is>
      </c>
      <c r="C97" s="5" t="inlineStr">
        <is>
          <t>85099B</t>
        </is>
      </c>
      <c r="D97" s="5" t="inlineStr">
        <is>
          <t>JUMBO BAG RED RETROSPOT</t>
        </is>
      </c>
      <c r="E97" s="7" t="n">
        <v>661.5</v>
      </c>
      <c r="F97" s="8" t="n">
        <v>370</v>
      </c>
      <c r="G97" s="8" t="n">
        <v>9</v>
      </c>
      <c r="H97" s="5" t="n">
        <v>2010</v>
      </c>
      <c r="I97" s="5" t="n">
        <v>3</v>
      </c>
    </row>
    <row r="98">
      <c r="A98" s="5" t="inlineStr">
        <is>
          <t>2010-03</t>
        </is>
      </c>
      <c r="B98" s="5" t="inlineStr">
        <is>
          <t>Rest of Europe</t>
        </is>
      </c>
      <c r="C98" s="5" t="inlineStr">
        <is>
          <t>85123A</t>
        </is>
      </c>
      <c r="D98" s="5" t="inlineStr">
        <is>
          <t>WHITE HANGING HEART T-LIGHT HOLDER</t>
        </is>
      </c>
      <c r="E98" s="7" t="n">
        <v>1014.6</v>
      </c>
      <c r="F98" s="8" t="n">
        <v>396</v>
      </c>
      <c r="G98" s="8" t="n">
        <v>3</v>
      </c>
      <c r="H98" s="5" t="n">
        <v>2010</v>
      </c>
      <c r="I98" s="5" t="n">
        <v>3</v>
      </c>
    </row>
    <row r="99">
      <c r="A99" s="5" t="inlineStr">
        <is>
          <t>2010-03</t>
        </is>
      </c>
      <c r="B99" s="5" t="inlineStr">
        <is>
          <t>Rest of Europe</t>
        </is>
      </c>
      <c r="C99" s="5" t="inlineStr">
        <is>
          <t>ALL OTHER PRODUCTS</t>
        </is>
      </c>
      <c r="D99" s="5" t="inlineStr">
        <is>
          <t>All other products</t>
        </is>
      </c>
      <c r="E99" s="7" t="n">
        <v>63142.88</v>
      </c>
      <c r="F99" s="8" t="n">
        <v>99562</v>
      </c>
      <c r="G99" s="8" t="n">
        <v>91</v>
      </c>
      <c r="H99" s="5" t="n">
        <v>2010</v>
      </c>
      <c r="I99" s="5" t="n">
        <v>3</v>
      </c>
    </row>
    <row r="100">
      <c r="A100" s="5" t="inlineStr">
        <is>
          <t>2010-03</t>
        </is>
      </c>
      <c r="B100" s="5" t="inlineStr">
        <is>
          <t>Rest of World</t>
        </is>
      </c>
      <c r="C100" s="5" t="inlineStr">
        <is>
          <t>20725</t>
        </is>
      </c>
      <c r="D100" s="5" t="inlineStr">
        <is>
          <t>LUNCH BAG RED RETROSPOT</t>
        </is>
      </c>
      <c r="E100" s="7" t="n">
        <v>52.8</v>
      </c>
      <c r="F100" s="8" t="n">
        <v>32</v>
      </c>
      <c r="G100" s="8" t="n">
        <v>3</v>
      </c>
      <c r="H100" s="5" t="n">
        <v>2010</v>
      </c>
      <c r="I100" s="5" t="n">
        <v>3</v>
      </c>
    </row>
    <row r="101">
      <c r="A101" s="5" t="inlineStr">
        <is>
          <t>2010-03</t>
        </is>
      </c>
      <c r="B101" s="5" t="inlineStr">
        <is>
          <t>Rest of World</t>
        </is>
      </c>
      <c r="C101" s="5" t="inlineStr">
        <is>
          <t>22386</t>
        </is>
      </c>
      <c r="D101" s="5" t="inlineStr">
        <is>
          <t>JUMBO BAG PINK POLKADOT</t>
        </is>
      </c>
      <c r="E101" s="7" t="n">
        <v>19.5</v>
      </c>
      <c r="F101" s="8" t="n">
        <v>10</v>
      </c>
      <c r="G101" s="8" t="n">
        <v>1</v>
      </c>
      <c r="H101" s="5" t="n">
        <v>2010</v>
      </c>
      <c r="I101" s="5" t="n">
        <v>3</v>
      </c>
    </row>
    <row r="102">
      <c r="A102" s="5" t="inlineStr">
        <is>
          <t>2010-03</t>
        </is>
      </c>
      <c r="B102" s="5" t="inlineStr">
        <is>
          <t>Rest of World</t>
        </is>
      </c>
      <c r="C102" s="5" t="inlineStr">
        <is>
          <t>ALL OTHER PRODUCTS</t>
        </is>
      </c>
      <c r="D102" s="5" t="inlineStr">
        <is>
          <t>All other products</t>
        </is>
      </c>
      <c r="E102" s="7" t="n">
        <v>3470.95</v>
      </c>
      <c r="F102" s="8" t="n">
        <v>4452</v>
      </c>
      <c r="G102" s="8" t="n">
        <v>7</v>
      </c>
      <c r="H102" s="5" t="n">
        <v>2010</v>
      </c>
      <c r="I102" s="5" t="n">
        <v>3</v>
      </c>
    </row>
    <row r="103">
      <c r="A103" s="5" t="inlineStr">
        <is>
          <t>2010-03</t>
        </is>
      </c>
      <c r="B103" s="5" t="inlineStr">
        <is>
          <t>United Kingdom</t>
        </is>
      </c>
      <c r="C103" s="5" t="inlineStr">
        <is>
          <t>20725</t>
        </is>
      </c>
      <c r="D103" s="5" t="inlineStr">
        <is>
          <t>LUNCH BAG RED RETROSPOT</t>
        </is>
      </c>
      <c r="E103" s="7" t="n">
        <v>2440.9</v>
      </c>
      <c r="F103" s="8" t="n">
        <v>1430</v>
      </c>
      <c r="G103" s="8" t="n">
        <v>107</v>
      </c>
      <c r="H103" s="5" t="n">
        <v>2010</v>
      </c>
      <c r="I103" s="5" t="n">
        <v>3</v>
      </c>
    </row>
    <row r="104">
      <c r="A104" s="5" t="inlineStr">
        <is>
          <t>2010-03</t>
        </is>
      </c>
      <c r="B104" s="5" t="inlineStr">
        <is>
          <t>United Kingdom</t>
        </is>
      </c>
      <c r="C104" s="5" t="inlineStr">
        <is>
          <t>22086</t>
        </is>
      </c>
      <c r="D104" s="5" t="inlineStr">
        <is>
          <t>PAPER CHAIN KIT 50'S CHRISTMAS</t>
        </is>
      </c>
      <c r="E104" s="7" t="n">
        <v>59.03</v>
      </c>
      <c r="F104" s="8" t="n">
        <v>17</v>
      </c>
      <c r="G104" s="8" t="n">
        <v>5</v>
      </c>
      <c r="H104" s="5" t="n">
        <v>2010</v>
      </c>
      <c r="I104" s="5" t="n">
        <v>3</v>
      </c>
    </row>
    <row r="105">
      <c r="A105" s="5" t="inlineStr">
        <is>
          <t>2010-03</t>
        </is>
      </c>
      <c r="B105" s="5" t="inlineStr">
        <is>
          <t>United Kingdom</t>
        </is>
      </c>
      <c r="C105" s="5" t="inlineStr">
        <is>
          <t>22197</t>
        </is>
      </c>
      <c r="D105" s="5" t="inlineStr">
        <is>
          <t>SMALL POPCORN HOLDER</t>
        </is>
      </c>
      <c r="E105" s="7" t="n">
        <v>1563.15</v>
      </c>
      <c r="F105" s="8" t="n">
        <v>1426</v>
      </c>
      <c r="G105" s="8" t="n">
        <v>53</v>
      </c>
      <c r="H105" s="5" t="n">
        <v>2010</v>
      </c>
      <c r="I105" s="5" t="n">
        <v>3</v>
      </c>
    </row>
    <row r="106">
      <c r="A106" s="5" t="inlineStr">
        <is>
          <t>2010-03</t>
        </is>
      </c>
      <c r="B106" s="5" t="inlineStr">
        <is>
          <t>United Kingdom</t>
        </is>
      </c>
      <c r="C106" s="5" t="inlineStr">
        <is>
          <t>22386</t>
        </is>
      </c>
      <c r="D106" s="5" t="inlineStr">
        <is>
          <t>JUMBO BAG PINK POLKADOT</t>
        </is>
      </c>
      <c r="E106" s="7" t="n">
        <v>2527.95</v>
      </c>
      <c r="F106" s="8" t="n">
        <v>1217</v>
      </c>
      <c r="G106" s="8" t="n">
        <v>92</v>
      </c>
      <c r="H106" s="5" t="n">
        <v>2010</v>
      </c>
      <c r="I106" s="5" t="n">
        <v>3</v>
      </c>
    </row>
    <row r="107">
      <c r="A107" s="5" t="inlineStr">
        <is>
          <t>2010-03</t>
        </is>
      </c>
      <c r="B107" s="5" t="inlineStr">
        <is>
          <t>United Kingdom</t>
        </is>
      </c>
      <c r="C107" s="5" t="inlineStr">
        <is>
          <t>22423</t>
        </is>
      </c>
      <c r="D107" s="5" t="inlineStr">
        <is>
          <t>REGENCY CAKESTAND 3 TIER</t>
        </is>
      </c>
      <c r="E107" s="7" t="n">
        <v>8472.959999999999</v>
      </c>
      <c r="F107" s="8" t="n">
        <v>624</v>
      </c>
      <c r="G107" s="8" t="n">
        <v>118</v>
      </c>
      <c r="H107" s="5" t="n">
        <v>2010</v>
      </c>
      <c r="I107" s="5" t="n">
        <v>3</v>
      </c>
    </row>
    <row r="108">
      <c r="A108" s="5" t="inlineStr">
        <is>
          <t>2010-03</t>
        </is>
      </c>
      <c r="B108" s="5" t="inlineStr">
        <is>
          <t>United Kingdom</t>
        </is>
      </c>
      <c r="C108" s="5" t="inlineStr">
        <is>
          <t>47566</t>
        </is>
      </c>
      <c r="D108" s="5" t="inlineStr">
        <is>
          <t>PARTY BUNTING</t>
        </is>
      </c>
      <c r="E108" s="7" t="n">
        <v>4693.68</v>
      </c>
      <c r="F108" s="8" t="n">
        <v>900</v>
      </c>
      <c r="G108" s="8" t="n">
        <v>119</v>
      </c>
      <c r="H108" s="5" t="n">
        <v>2010</v>
      </c>
      <c r="I108" s="5" t="n">
        <v>3</v>
      </c>
    </row>
    <row r="109">
      <c r="A109" s="5" t="inlineStr">
        <is>
          <t>2010-03</t>
        </is>
      </c>
      <c r="B109" s="5" t="inlineStr">
        <is>
          <t>United Kingdom</t>
        </is>
      </c>
      <c r="C109" s="5" t="inlineStr">
        <is>
          <t>79321</t>
        </is>
      </c>
      <c r="D109" s="5" t="inlineStr">
        <is>
          <t>CHILLI LIGHTS</t>
        </is>
      </c>
      <c r="E109" s="7" t="n">
        <v>1587.45</v>
      </c>
      <c r="F109" s="8" t="n">
        <v>407</v>
      </c>
      <c r="G109" s="8" t="n">
        <v>10</v>
      </c>
      <c r="H109" s="5" t="n">
        <v>2010</v>
      </c>
      <c r="I109" s="5" t="n">
        <v>3</v>
      </c>
    </row>
    <row r="110">
      <c r="A110" s="5" t="inlineStr">
        <is>
          <t>2010-03</t>
        </is>
      </c>
      <c r="B110" s="5" t="inlineStr">
        <is>
          <t>United Kingdom</t>
        </is>
      </c>
      <c r="C110" s="5" t="inlineStr">
        <is>
          <t>84879</t>
        </is>
      </c>
      <c r="D110" s="5" t="inlineStr">
        <is>
          <t>ASSORTED COLOUR BIRD ORNAMENT</t>
        </is>
      </c>
      <c r="E110" s="7" t="n">
        <v>3992.77</v>
      </c>
      <c r="F110" s="8" t="n">
        <v>2533</v>
      </c>
      <c r="G110" s="8" t="n">
        <v>113</v>
      </c>
      <c r="H110" s="5" t="n">
        <v>2010</v>
      </c>
      <c r="I110" s="5" t="n">
        <v>3</v>
      </c>
    </row>
    <row r="111">
      <c r="A111" s="5" t="inlineStr">
        <is>
          <t>2010-03</t>
        </is>
      </c>
      <c r="B111" s="5" t="inlineStr">
        <is>
          <t>United Kingdom</t>
        </is>
      </c>
      <c r="C111" s="5" t="inlineStr">
        <is>
          <t>85099B</t>
        </is>
      </c>
      <c r="D111" s="5" t="inlineStr">
        <is>
          <t>JUMBO BAG RED RETROSPOT</t>
        </is>
      </c>
      <c r="E111" s="7" t="n">
        <v>5170.14</v>
      </c>
      <c r="F111" s="8" t="n">
        <v>2858</v>
      </c>
      <c r="G111" s="8" t="n">
        <v>144</v>
      </c>
      <c r="H111" s="5" t="n">
        <v>2010</v>
      </c>
      <c r="I111" s="5" t="n">
        <v>3</v>
      </c>
    </row>
    <row r="112">
      <c r="A112" s="5" t="inlineStr">
        <is>
          <t>2010-03</t>
        </is>
      </c>
      <c r="B112" s="5" t="inlineStr">
        <is>
          <t>United Kingdom</t>
        </is>
      </c>
      <c r="C112" s="5" t="inlineStr">
        <is>
          <t>85123A</t>
        </is>
      </c>
      <c r="D112" s="5" t="inlineStr">
        <is>
          <t>WHITE HANGING HEART T-LIGHT HOLDER</t>
        </is>
      </c>
      <c r="E112" s="7" t="n">
        <v>12956.6</v>
      </c>
      <c r="F112" s="8" t="n">
        <v>4576</v>
      </c>
      <c r="G112" s="8" t="n">
        <v>262</v>
      </c>
      <c r="H112" s="5" t="n">
        <v>2010</v>
      </c>
      <c r="I112" s="5" t="n">
        <v>3</v>
      </c>
    </row>
    <row r="113">
      <c r="A113" s="5" t="inlineStr">
        <is>
          <t>2010-03</t>
        </is>
      </c>
      <c r="B113" s="5" t="inlineStr">
        <is>
          <t>United Kingdom</t>
        </is>
      </c>
      <c r="C113" s="5" t="inlineStr">
        <is>
          <t>ALL OTHER PRODUCTS</t>
        </is>
      </c>
      <c r="D113" s="5" t="inlineStr">
        <is>
          <t>All other products</t>
        </is>
      </c>
      <c r="E113" s="7" t="n">
        <v>624935.66</v>
      </c>
      <c r="F113" s="8" t="n">
        <v>388114</v>
      </c>
      <c r="G113" s="8" t="n">
        <v>1515</v>
      </c>
      <c r="H113" s="5" t="n">
        <v>2010</v>
      </c>
      <c r="I113" s="5" t="n">
        <v>3</v>
      </c>
    </row>
    <row r="114">
      <c r="A114" s="5" t="inlineStr">
        <is>
          <t>2010-04</t>
        </is>
      </c>
      <c r="B114" s="5" t="inlineStr">
        <is>
          <t>Ireland (EIRE)</t>
        </is>
      </c>
      <c r="C114" s="5" t="inlineStr">
        <is>
          <t>20725</t>
        </is>
      </c>
      <c r="D114" s="5" t="inlineStr">
        <is>
          <t>LUNCH BAG RED RETROSPOT</t>
        </is>
      </c>
      <c r="E114" s="7" t="n">
        <v>161.5</v>
      </c>
      <c r="F114" s="8" t="n">
        <v>110</v>
      </c>
      <c r="G114" s="8" t="n">
        <v>2</v>
      </c>
      <c r="H114" s="5" t="n">
        <v>2010</v>
      </c>
      <c r="I114" s="5" t="n">
        <v>4</v>
      </c>
    </row>
    <row r="115">
      <c r="A115" s="5" t="inlineStr">
        <is>
          <t>2010-04</t>
        </is>
      </c>
      <c r="B115" s="5" t="inlineStr">
        <is>
          <t>Ireland (EIRE)</t>
        </is>
      </c>
      <c r="C115" s="5" t="inlineStr">
        <is>
          <t>22197</t>
        </is>
      </c>
      <c r="D115" s="5" t="inlineStr">
        <is>
          <t>SMALL POPCORN HOLDER</t>
        </is>
      </c>
      <c r="E115" s="7" t="n">
        <v>174.6</v>
      </c>
      <c r="F115" s="8" t="n">
        <v>236</v>
      </c>
      <c r="G115" s="8" t="n">
        <v>3</v>
      </c>
      <c r="H115" s="5" t="n">
        <v>2010</v>
      </c>
      <c r="I115" s="5" t="n">
        <v>4</v>
      </c>
    </row>
    <row r="116">
      <c r="A116" s="5" t="inlineStr">
        <is>
          <t>2010-04</t>
        </is>
      </c>
      <c r="B116" s="5" t="inlineStr">
        <is>
          <t>Ireland (EIRE)</t>
        </is>
      </c>
      <c r="C116" s="5" t="inlineStr">
        <is>
          <t>22423</t>
        </is>
      </c>
      <c r="D116" s="5" t="inlineStr">
        <is>
          <t>REGENCY CAKESTAND 3 TIER</t>
        </is>
      </c>
      <c r="E116" s="7" t="n">
        <v>713.55</v>
      </c>
      <c r="F116" s="8" t="n">
        <v>65</v>
      </c>
      <c r="G116" s="8" t="n">
        <v>5</v>
      </c>
      <c r="H116" s="5" t="n">
        <v>2010</v>
      </c>
      <c r="I116" s="5" t="n">
        <v>4</v>
      </c>
    </row>
    <row r="117">
      <c r="A117" s="5" t="inlineStr">
        <is>
          <t>2010-04</t>
        </is>
      </c>
      <c r="B117" s="5" t="inlineStr">
        <is>
          <t>Ireland (EIRE)</t>
        </is>
      </c>
      <c r="C117" s="5" t="inlineStr">
        <is>
          <t>47566</t>
        </is>
      </c>
      <c r="D117" s="5" t="inlineStr">
        <is>
          <t>PARTY BUNTING</t>
        </is>
      </c>
      <c r="E117" s="7" t="n">
        <v>429.75</v>
      </c>
      <c r="F117" s="8" t="n">
        <v>111</v>
      </c>
      <c r="G117" s="8" t="n">
        <v>3</v>
      </c>
      <c r="H117" s="5" t="n">
        <v>2010</v>
      </c>
      <c r="I117" s="5" t="n">
        <v>4</v>
      </c>
    </row>
    <row r="118">
      <c r="A118" s="5" t="inlineStr">
        <is>
          <t>2010-04</t>
        </is>
      </c>
      <c r="B118" s="5" t="inlineStr">
        <is>
          <t>Ireland (EIRE)</t>
        </is>
      </c>
      <c r="C118" s="5" t="inlineStr">
        <is>
          <t>79321</t>
        </is>
      </c>
      <c r="D118" s="5" t="inlineStr">
        <is>
          <t>CHILLI LIGHTS</t>
        </is>
      </c>
      <c r="E118" s="7" t="n">
        <v>19.8</v>
      </c>
      <c r="F118" s="8" t="n">
        <v>4</v>
      </c>
      <c r="G118" s="8" t="n">
        <v>1</v>
      </c>
      <c r="H118" s="5" t="n">
        <v>2010</v>
      </c>
      <c r="I118" s="5" t="n">
        <v>4</v>
      </c>
    </row>
    <row r="119">
      <c r="A119" s="5" t="inlineStr">
        <is>
          <t>2010-04</t>
        </is>
      </c>
      <c r="B119" s="5" t="inlineStr">
        <is>
          <t>Ireland (EIRE)</t>
        </is>
      </c>
      <c r="C119" s="5" t="inlineStr">
        <is>
          <t>84879</t>
        </is>
      </c>
      <c r="D119" s="5" t="inlineStr">
        <is>
          <t>ASSORTED COLOUR BIRD ORNAMENT</t>
        </is>
      </c>
      <c r="E119" s="7" t="n">
        <v>40.56</v>
      </c>
      <c r="F119" s="8" t="n">
        <v>24</v>
      </c>
      <c r="G119" s="8" t="n">
        <v>1</v>
      </c>
      <c r="H119" s="5" t="n">
        <v>2010</v>
      </c>
      <c r="I119" s="5" t="n">
        <v>4</v>
      </c>
    </row>
    <row r="120">
      <c r="A120" s="5" t="inlineStr">
        <is>
          <t>2010-04</t>
        </is>
      </c>
      <c r="B120" s="5" t="inlineStr">
        <is>
          <t>Ireland (EIRE)</t>
        </is>
      </c>
      <c r="C120" s="5" t="inlineStr">
        <is>
          <t>85123A</t>
        </is>
      </c>
      <c r="D120" s="5" t="inlineStr">
        <is>
          <t>WHITE HANGING HEART T-LIGHT HOLDER</t>
        </is>
      </c>
      <c r="E120" s="7" t="n">
        <v>99.3</v>
      </c>
      <c r="F120" s="8" t="n">
        <v>38</v>
      </c>
      <c r="G120" s="8" t="n">
        <v>2</v>
      </c>
      <c r="H120" s="5" t="n">
        <v>2010</v>
      </c>
      <c r="I120" s="5" t="n">
        <v>4</v>
      </c>
    </row>
    <row r="121">
      <c r="A121" s="5" t="inlineStr">
        <is>
          <t>2010-04</t>
        </is>
      </c>
      <c r="B121" s="5" t="inlineStr">
        <is>
          <t>Ireland (EIRE)</t>
        </is>
      </c>
      <c r="C121" s="5" t="inlineStr">
        <is>
          <t>ALL OTHER PRODUCTS</t>
        </is>
      </c>
      <c r="D121" s="5" t="inlineStr">
        <is>
          <t>All other products</t>
        </is>
      </c>
      <c r="E121" s="7" t="n">
        <v>21693.67</v>
      </c>
      <c r="F121" s="8" t="n">
        <v>13146</v>
      </c>
      <c r="G121" s="8" t="n">
        <v>18</v>
      </c>
      <c r="H121" s="5" t="n">
        <v>2010</v>
      </c>
      <c r="I121" s="5" t="n">
        <v>4</v>
      </c>
    </row>
    <row r="122">
      <c r="A122" s="5" t="inlineStr">
        <is>
          <t>2010-04</t>
        </is>
      </c>
      <c r="B122" s="5" t="inlineStr">
        <is>
          <t>Rest of Europe</t>
        </is>
      </c>
      <c r="C122" s="5" t="inlineStr">
        <is>
          <t>20725</t>
        </is>
      </c>
      <c r="D122" s="5" t="inlineStr">
        <is>
          <t>LUNCH BAG RED RETROSPOT</t>
        </is>
      </c>
      <c r="E122" s="7" t="n">
        <v>194.5</v>
      </c>
      <c r="F122" s="8" t="n">
        <v>130</v>
      </c>
      <c r="G122" s="8" t="n">
        <v>4</v>
      </c>
      <c r="H122" s="5" t="n">
        <v>2010</v>
      </c>
      <c r="I122" s="5" t="n">
        <v>4</v>
      </c>
    </row>
    <row r="123">
      <c r="A123" s="5" t="inlineStr">
        <is>
          <t>2010-04</t>
        </is>
      </c>
      <c r="B123" s="5" t="inlineStr">
        <is>
          <t>Rest of Europe</t>
        </is>
      </c>
      <c r="C123" s="5" t="inlineStr">
        <is>
          <t>22197</t>
        </is>
      </c>
      <c r="D123" s="5" t="inlineStr">
        <is>
          <t>SMALL POPCORN HOLDER</t>
        </is>
      </c>
      <c r="E123" s="7" t="n">
        <v>10.2</v>
      </c>
      <c r="F123" s="8" t="n">
        <v>12</v>
      </c>
      <c r="G123" s="8" t="n">
        <v>1</v>
      </c>
      <c r="H123" s="5" t="n">
        <v>2010</v>
      </c>
      <c r="I123" s="5" t="n">
        <v>4</v>
      </c>
    </row>
    <row r="124">
      <c r="A124" s="5" t="inlineStr">
        <is>
          <t>2010-04</t>
        </is>
      </c>
      <c r="B124" s="5" t="inlineStr">
        <is>
          <t>Rest of Europe</t>
        </is>
      </c>
      <c r="C124" s="5" t="inlineStr">
        <is>
          <t>22386</t>
        </is>
      </c>
      <c r="D124" s="5" t="inlineStr">
        <is>
          <t>JUMBO BAG PINK POLKADOT</t>
        </is>
      </c>
      <c r="E124" s="7" t="n">
        <v>234</v>
      </c>
      <c r="F124" s="8" t="n">
        <v>120</v>
      </c>
      <c r="G124" s="8" t="n">
        <v>8</v>
      </c>
      <c r="H124" s="5" t="n">
        <v>2010</v>
      </c>
      <c r="I124" s="5" t="n">
        <v>4</v>
      </c>
    </row>
    <row r="125">
      <c r="A125" s="5" t="inlineStr">
        <is>
          <t>2010-04</t>
        </is>
      </c>
      <c r="B125" s="5" t="inlineStr">
        <is>
          <t>Rest of Europe</t>
        </is>
      </c>
      <c r="C125" s="5" t="inlineStr">
        <is>
          <t>22423</t>
        </is>
      </c>
      <c r="D125" s="5" t="inlineStr">
        <is>
          <t>REGENCY CAKESTAND 3 TIER</t>
        </is>
      </c>
      <c r="E125" s="7" t="n">
        <v>591</v>
      </c>
      <c r="F125" s="8" t="n">
        <v>52</v>
      </c>
      <c r="G125" s="8" t="n">
        <v>9</v>
      </c>
      <c r="H125" s="5" t="n">
        <v>2010</v>
      </c>
      <c r="I125" s="5" t="n">
        <v>4</v>
      </c>
    </row>
    <row r="126">
      <c r="A126" s="5" t="inlineStr">
        <is>
          <t>2010-04</t>
        </is>
      </c>
      <c r="B126" s="5" t="inlineStr">
        <is>
          <t>Rest of Europe</t>
        </is>
      </c>
      <c r="C126" s="5" t="inlineStr">
        <is>
          <t>47566</t>
        </is>
      </c>
      <c r="D126" s="5" t="inlineStr">
        <is>
          <t>PARTY BUNTING</t>
        </is>
      </c>
      <c r="E126" s="7" t="n">
        <v>297.6</v>
      </c>
      <c r="F126" s="8" t="n">
        <v>64</v>
      </c>
      <c r="G126" s="8" t="n">
        <v>6</v>
      </c>
      <c r="H126" s="5" t="n">
        <v>2010</v>
      </c>
      <c r="I126" s="5" t="n">
        <v>4</v>
      </c>
    </row>
    <row r="127">
      <c r="A127" s="5" t="inlineStr">
        <is>
          <t>2010-04</t>
        </is>
      </c>
      <c r="B127" s="5" t="inlineStr">
        <is>
          <t>Rest of Europe</t>
        </is>
      </c>
      <c r="C127" s="5" t="inlineStr">
        <is>
          <t>84879</t>
        </is>
      </c>
      <c r="D127" s="5" t="inlineStr">
        <is>
          <t>ASSORTED COLOUR BIRD ORNAMENT</t>
        </is>
      </c>
      <c r="E127" s="7" t="n">
        <v>299.6</v>
      </c>
      <c r="F127" s="8" t="n">
        <v>200</v>
      </c>
      <c r="G127" s="8" t="n">
        <v>4</v>
      </c>
      <c r="H127" s="5" t="n">
        <v>2010</v>
      </c>
      <c r="I127" s="5" t="n">
        <v>4</v>
      </c>
    </row>
    <row r="128">
      <c r="A128" s="5" t="inlineStr">
        <is>
          <t>2010-04</t>
        </is>
      </c>
      <c r="B128" s="5" t="inlineStr">
        <is>
          <t>Rest of Europe</t>
        </is>
      </c>
      <c r="C128" s="5" t="inlineStr">
        <is>
          <t>85099B</t>
        </is>
      </c>
      <c r="D128" s="5" t="inlineStr">
        <is>
          <t>JUMBO BAG RED RETROSPOT</t>
        </is>
      </c>
      <c r="E128" s="7" t="n">
        <v>564</v>
      </c>
      <c r="F128" s="8" t="n">
        <v>320</v>
      </c>
      <c r="G128" s="8" t="n">
        <v>8</v>
      </c>
      <c r="H128" s="5" t="n">
        <v>2010</v>
      </c>
      <c r="I128" s="5" t="n">
        <v>4</v>
      </c>
    </row>
    <row r="129">
      <c r="A129" s="5" t="inlineStr">
        <is>
          <t>2010-04</t>
        </is>
      </c>
      <c r="B129" s="5" t="inlineStr">
        <is>
          <t>Rest of Europe</t>
        </is>
      </c>
      <c r="C129" s="5" t="inlineStr">
        <is>
          <t>ALL OTHER PRODUCTS</t>
        </is>
      </c>
      <c r="D129" s="5" t="inlineStr">
        <is>
          <t>All other products</t>
        </is>
      </c>
      <c r="E129" s="7" t="n">
        <v>60958.17</v>
      </c>
      <c r="F129" s="8" t="n">
        <v>46251</v>
      </c>
      <c r="G129" s="8" t="n">
        <v>84</v>
      </c>
      <c r="H129" s="5" t="n">
        <v>2010</v>
      </c>
      <c r="I129" s="5" t="n">
        <v>4</v>
      </c>
    </row>
    <row r="130">
      <c r="A130" s="5" t="inlineStr">
        <is>
          <t>2010-04</t>
        </is>
      </c>
      <c r="B130" s="5" t="inlineStr">
        <is>
          <t>Rest of World</t>
        </is>
      </c>
      <c r="C130" s="5" t="inlineStr">
        <is>
          <t>20725</t>
        </is>
      </c>
      <c r="D130" s="5" t="inlineStr">
        <is>
          <t>LUNCH BAG RED RETROSPOT</t>
        </is>
      </c>
      <c r="E130" s="7" t="n">
        <v>33</v>
      </c>
      <c r="F130" s="8" t="n">
        <v>20</v>
      </c>
      <c r="G130" s="8" t="n">
        <v>2</v>
      </c>
      <c r="H130" s="5" t="n">
        <v>2010</v>
      </c>
      <c r="I130" s="5" t="n">
        <v>4</v>
      </c>
    </row>
    <row r="131">
      <c r="A131" s="5" t="inlineStr">
        <is>
          <t>2010-04</t>
        </is>
      </c>
      <c r="B131" s="5" t="inlineStr">
        <is>
          <t>Rest of World</t>
        </is>
      </c>
      <c r="C131" s="5" t="inlineStr">
        <is>
          <t>22086</t>
        </is>
      </c>
      <c r="D131" s="5" t="inlineStr">
        <is>
          <t>PAPER CHAIN KIT 50'S CHRISTMAS</t>
        </is>
      </c>
      <c r="E131" s="7" t="n">
        <v>53.1</v>
      </c>
      <c r="F131" s="8" t="n">
        <v>18</v>
      </c>
      <c r="G131" s="8" t="n">
        <v>1</v>
      </c>
      <c r="H131" s="5" t="n">
        <v>2010</v>
      </c>
      <c r="I131" s="5" t="n">
        <v>4</v>
      </c>
    </row>
    <row r="132">
      <c r="A132" s="5" t="inlineStr">
        <is>
          <t>2010-04</t>
        </is>
      </c>
      <c r="B132" s="5" t="inlineStr">
        <is>
          <t>Rest of World</t>
        </is>
      </c>
      <c r="C132" s="5" t="inlineStr">
        <is>
          <t>22386</t>
        </is>
      </c>
      <c r="D132" s="5" t="inlineStr">
        <is>
          <t>JUMBO BAG PINK POLKADOT</t>
        </is>
      </c>
      <c r="E132" s="7" t="n">
        <v>58.5</v>
      </c>
      <c r="F132" s="8" t="n">
        <v>30</v>
      </c>
      <c r="G132" s="8" t="n">
        <v>2</v>
      </c>
      <c r="H132" s="5" t="n">
        <v>2010</v>
      </c>
      <c r="I132" s="5" t="n">
        <v>4</v>
      </c>
    </row>
    <row r="133">
      <c r="A133" s="5" t="inlineStr">
        <is>
          <t>2010-04</t>
        </is>
      </c>
      <c r="B133" s="5" t="inlineStr">
        <is>
          <t>Rest of World</t>
        </is>
      </c>
      <c r="C133" s="5" t="inlineStr">
        <is>
          <t>22423</t>
        </is>
      </c>
      <c r="D133" s="5" t="inlineStr">
        <is>
          <t>REGENCY CAKESTAND 3 TIER</t>
        </is>
      </c>
      <c r="E133" s="7" t="n">
        <v>63.75</v>
      </c>
      <c r="F133" s="8" t="n">
        <v>5</v>
      </c>
      <c r="G133" s="8" t="n">
        <v>2</v>
      </c>
      <c r="H133" s="5" t="n">
        <v>2010</v>
      </c>
      <c r="I133" s="5" t="n">
        <v>4</v>
      </c>
    </row>
    <row r="134">
      <c r="A134" s="5" t="inlineStr">
        <is>
          <t>2010-04</t>
        </is>
      </c>
      <c r="B134" s="5" t="inlineStr">
        <is>
          <t>Rest of World</t>
        </is>
      </c>
      <c r="C134" s="5" t="inlineStr">
        <is>
          <t>85099B</t>
        </is>
      </c>
      <c r="D134" s="5" t="inlineStr">
        <is>
          <t>JUMBO BAG RED RETROSPOT</t>
        </is>
      </c>
      <c r="E134" s="7" t="n">
        <v>58.5</v>
      </c>
      <c r="F134" s="8" t="n">
        <v>30</v>
      </c>
      <c r="G134" s="8" t="n">
        <v>2</v>
      </c>
      <c r="H134" s="5" t="n">
        <v>2010</v>
      </c>
      <c r="I134" s="5" t="n">
        <v>4</v>
      </c>
    </row>
    <row r="135">
      <c r="A135" s="5" t="inlineStr">
        <is>
          <t>2010-04</t>
        </is>
      </c>
      <c r="B135" s="5" t="inlineStr">
        <is>
          <t>Rest of World</t>
        </is>
      </c>
      <c r="C135" s="5" t="inlineStr">
        <is>
          <t>85123A</t>
        </is>
      </c>
      <c r="D135" s="5" t="inlineStr">
        <is>
          <t>WHITE HANGING HEART T-LIGHT HOLDER</t>
        </is>
      </c>
      <c r="E135" s="7" t="n">
        <v>81.59999999999999</v>
      </c>
      <c r="F135" s="8" t="n">
        <v>32</v>
      </c>
      <c r="G135" s="8" t="n">
        <v>1</v>
      </c>
      <c r="H135" s="5" t="n">
        <v>2010</v>
      </c>
      <c r="I135" s="5" t="n">
        <v>4</v>
      </c>
    </row>
    <row r="136">
      <c r="A136" s="5" t="inlineStr">
        <is>
          <t>2010-04</t>
        </is>
      </c>
      <c r="B136" s="5" t="inlineStr">
        <is>
          <t>Rest of World</t>
        </is>
      </c>
      <c r="C136" s="5" t="inlineStr">
        <is>
          <t>ALL OTHER PRODUCTS</t>
        </is>
      </c>
      <c r="D136" s="5" t="inlineStr">
        <is>
          <t>All other products</t>
        </is>
      </c>
      <c r="E136" s="7" t="n">
        <v>4024.58</v>
      </c>
      <c r="F136" s="8" t="n">
        <v>2454</v>
      </c>
      <c r="G136" s="8" t="n">
        <v>5</v>
      </c>
      <c r="H136" s="5" t="n">
        <v>2010</v>
      </c>
      <c r="I136" s="5" t="n">
        <v>4</v>
      </c>
    </row>
    <row r="137">
      <c r="A137" s="5" t="inlineStr">
        <is>
          <t>2010-04</t>
        </is>
      </c>
      <c r="B137" s="5" t="inlineStr">
        <is>
          <t>United Kingdom</t>
        </is>
      </c>
      <c r="C137" s="5" t="inlineStr">
        <is>
          <t>20725</t>
        </is>
      </c>
      <c r="D137" s="5" t="inlineStr">
        <is>
          <t>LUNCH BAG RED RETROSPOT</t>
        </is>
      </c>
      <c r="E137" s="7" t="n">
        <v>1922.45</v>
      </c>
      <c r="F137" s="8" t="n">
        <v>1185</v>
      </c>
      <c r="G137" s="8" t="n">
        <v>107</v>
      </c>
      <c r="H137" s="5" t="n">
        <v>2010</v>
      </c>
      <c r="I137" s="5" t="n">
        <v>4</v>
      </c>
    </row>
    <row r="138">
      <c r="A138" s="5" t="inlineStr">
        <is>
          <t>2010-04</t>
        </is>
      </c>
      <c r="B138" s="5" t="inlineStr">
        <is>
          <t>United Kingdom</t>
        </is>
      </c>
      <c r="C138" s="5" t="inlineStr">
        <is>
          <t>22086</t>
        </is>
      </c>
      <c r="D138" s="5" t="inlineStr">
        <is>
          <t>PAPER CHAIN KIT 50'S CHRISTMAS</t>
        </is>
      </c>
      <c r="E138" s="7" t="n">
        <v>2.95</v>
      </c>
      <c r="F138" s="8" t="n">
        <v>1</v>
      </c>
      <c r="G138" s="8" t="n">
        <v>1</v>
      </c>
      <c r="H138" s="5" t="n">
        <v>2010</v>
      </c>
      <c r="I138" s="5" t="n">
        <v>4</v>
      </c>
    </row>
    <row r="139">
      <c r="A139" s="5" t="inlineStr">
        <is>
          <t>2010-04</t>
        </is>
      </c>
      <c r="B139" s="5" t="inlineStr">
        <is>
          <t>United Kingdom</t>
        </is>
      </c>
      <c r="C139" s="5" t="inlineStr">
        <is>
          <t>22197</t>
        </is>
      </c>
      <c r="D139" s="5" t="inlineStr">
        <is>
          <t>SMALL POPCORN HOLDER</t>
        </is>
      </c>
      <c r="E139" s="7" t="n">
        <v>1252.08</v>
      </c>
      <c r="F139" s="8" t="n">
        <v>1585</v>
      </c>
      <c r="G139" s="8" t="n">
        <v>57</v>
      </c>
      <c r="H139" s="5" t="n">
        <v>2010</v>
      </c>
      <c r="I139" s="5" t="n">
        <v>4</v>
      </c>
    </row>
    <row r="140">
      <c r="A140" s="5" t="inlineStr">
        <is>
          <t>2010-04</t>
        </is>
      </c>
      <c r="B140" s="5" t="inlineStr">
        <is>
          <t>United Kingdom</t>
        </is>
      </c>
      <c r="C140" s="5" t="inlineStr">
        <is>
          <t>22386</t>
        </is>
      </c>
      <c r="D140" s="5" t="inlineStr">
        <is>
          <t>JUMBO BAG PINK POLKADOT</t>
        </is>
      </c>
      <c r="E140" s="7" t="n">
        <v>1739.89</v>
      </c>
      <c r="F140" s="8" t="n">
        <v>969</v>
      </c>
      <c r="G140" s="8" t="n">
        <v>67</v>
      </c>
      <c r="H140" s="5" t="n">
        <v>2010</v>
      </c>
      <c r="I140" s="5" t="n">
        <v>4</v>
      </c>
    </row>
    <row r="141">
      <c r="A141" s="5" t="inlineStr">
        <is>
          <t>2010-04</t>
        </is>
      </c>
      <c r="B141" s="5" t="inlineStr">
        <is>
          <t>United Kingdom</t>
        </is>
      </c>
      <c r="C141" s="5" t="inlineStr">
        <is>
          <t>22423</t>
        </is>
      </c>
      <c r="D141" s="5" t="inlineStr">
        <is>
          <t>REGENCY CAKESTAND 3 TIER</t>
        </is>
      </c>
      <c r="E141" s="7" t="n">
        <v>13014.79</v>
      </c>
      <c r="F141" s="8" t="n">
        <v>1045</v>
      </c>
      <c r="G141" s="8" t="n">
        <v>214</v>
      </c>
      <c r="H141" s="5" t="n">
        <v>2010</v>
      </c>
      <c r="I141" s="5" t="n">
        <v>4</v>
      </c>
    </row>
    <row r="142">
      <c r="A142" s="5" t="inlineStr">
        <is>
          <t>2010-04</t>
        </is>
      </c>
      <c r="B142" s="5" t="inlineStr">
        <is>
          <t>United Kingdom</t>
        </is>
      </c>
      <c r="C142" s="5" t="inlineStr">
        <is>
          <t>47566</t>
        </is>
      </c>
      <c r="D142" s="5" t="inlineStr">
        <is>
          <t>PARTY BUNTING</t>
        </is>
      </c>
      <c r="E142" s="7" t="n">
        <v>6291.5</v>
      </c>
      <c r="F142" s="8" t="n">
        <v>1314</v>
      </c>
      <c r="G142" s="8" t="n">
        <v>137</v>
      </c>
      <c r="H142" s="5" t="n">
        <v>2010</v>
      </c>
      <c r="I142" s="5" t="n">
        <v>4</v>
      </c>
    </row>
    <row r="143">
      <c r="A143" s="5" t="inlineStr">
        <is>
          <t>2010-04</t>
        </is>
      </c>
      <c r="B143" s="5" t="inlineStr">
        <is>
          <t>United Kingdom</t>
        </is>
      </c>
      <c r="C143" s="5" t="inlineStr">
        <is>
          <t>79321</t>
        </is>
      </c>
      <c r="D143" s="5" t="inlineStr">
        <is>
          <t>CHILLI LIGHTS</t>
        </is>
      </c>
      <c r="E143" s="7" t="n">
        <v>2380.97</v>
      </c>
      <c r="F143" s="8" t="n">
        <v>519</v>
      </c>
      <c r="G143" s="8" t="n">
        <v>55</v>
      </c>
      <c r="H143" s="5" t="n">
        <v>2010</v>
      </c>
      <c r="I143" s="5" t="n">
        <v>4</v>
      </c>
    </row>
    <row r="144">
      <c r="A144" s="5" t="inlineStr">
        <is>
          <t>2010-04</t>
        </is>
      </c>
      <c r="B144" s="5" t="inlineStr">
        <is>
          <t>United Kingdom</t>
        </is>
      </c>
      <c r="C144" s="5" t="inlineStr">
        <is>
          <t>84347</t>
        </is>
      </c>
      <c r="D144" s="5" t="inlineStr">
        <is>
          <t>ROTATING SILVER ANGELS T-LIGHT HLDR</t>
        </is>
      </c>
      <c r="E144" s="7" t="n">
        <v>15.3</v>
      </c>
      <c r="F144" s="8" t="n">
        <v>6</v>
      </c>
      <c r="G144" s="8" t="n">
        <v>1</v>
      </c>
      <c r="H144" s="5" t="n">
        <v>2010</v>
      </c>
      <c r="I144" s="5" t="n">
        <v>4</v>
      </c>
    </row>
    <row r="145">
      <c r="A145" s="5" t="inlineStr">
        <is>
          <t>2010-04</t>
        </is>
      </c>
      <c r="B145" s="5" t="inlineStr">
        <is>
          <t>United Kingdom</t>
        </is>
      </c>
      <c r="C145" s="5" t="inlineStr">
        <is>
          <t>84879</t>
        </is>
      </c>
      <c r="D145" s="5" t="inlineStr">
        <is>
          <t>ASSORTED COLOUR BIRD ORNAMENT</t>
        </is>
      </c>
      <c r="E145" s="7" t="n">
        <v>4394.25</v>
      </c>
      <c r="F145" s="8" t="n">
        <v>2569</v>
      </c>
      <c r="G145" s="8" t="n">
        <v>95</v>
      </c>
      <c r="H145" s="5" t="n">
        <v>2010</v>
      </c>
      <c r="I145" s="5" t="n">
        <v>4</v>
      </c>
    </row>
    <row r="146">
      <c r="A146" s="5" t="inlineStr">
        <is>
          <t>2010-04</t>
        </is>
      </c>
      <c r="B146" s="5" t="inlineStr">
        <is>
          <t>United Kingdom</t>
        </is>
      </c>
      <c r="C146" s="5" t="inlineStr">
        <is>
          <t>85099B</t>
        </is>
      </c>
      <c r="D146" s="5" t="inlineStr">
        <is>
          <t>JUMBO BAG RED RETROSPOT</t>
        </is>
      </c>
      <c r="E146" s="7" t="n">
        <v>6392.26</v>
      </c>
      <c r="F146" s="8" t="n">
        <v>3596</v>
      </c>
      <c r="G146" s="8" t="n">
        <v>135</v>
      </c>
      <c r="H146" s="5" t="n">
        <v>2010</v>
      </c>
      <c r="I146" s="5" t="n">
        <v>4</v>
      </c>
    </row>
    <row r="147">
      <c r="A147" s="5" t="inlineStr">
        <is>
          <t>2010-04</t>
        </is>
      </c>
      <c r="B147" s="5" t="inlineStr">
        <is>
          <t>United Kingdom</t>
        </is>
      </c>
      <c r="C147" s="5" t="inlineStr">
        <is>
          <t>85123A</t>
        </is>
      </c>
      <c r="D147" s="5" t="inlineStr">
        <is>
          <t>WHITE HANGING HEART T-LIGHT HOLDER</t>
        </is>
      </c>
      <c r="E147" s="7" t="n">
        <v>9867.610000000001</v>
      </c>
      <c r="F147" s="8" t="n">
        <v>3627</v>
      </c>
      <c r="G147" s="8" t="n">
        <v>224</v>
      </c>
      <c r="H147" s="5" t="n">
        <v>2010</v>
      </c>
      <c r="I147" s="5" t="n">
        <v>4</v>
      </c>
    </row>
    <row r="148">
      <c r="A148" s="5" t="inlineStr">
        <is>
          <t>2010-04</t>
        </is>
      </c>
      <c r="B148" s="5" t="inlineStr">
        <is>
          <t>United Kingdom</t>
        </is>
      </c>
      <c r="C148" s="5" t="inlineStr">
        <is>
          <t>ALL OTHER PRODUCTS</t>
        </is>
      </c>
      <c r="D148" s="5" t="inlineStr">
        <is>
          <t>All other products</t>
        </is>
      </c>
      <c r="E148" s="7" t="n">
        <v>508212.05</v>
      </c>
      <c r="F148" s="8" t="n">
        <v>286177</v>
      </c>
      <c r="G148" s="8" t="n">
        <v>1310</v>
      </c>
      <c r="H148" s="5" t="n">
        <v>2010</v>
      </c>
      <c r="I148" s="5" t="n">
        <v>4</v>
      </c>
    </row>
    <row r="149">
      <c r="A149" s="5" t="inlineStr">
        <is>
          <t>2010-05</t>
        </is>
      </c>
      <c r="B149" s="5" t="inlineStr">
        <is>
          <t>Ireland (EIRE)</t>
        </is>
      </c>
      <c r="C149" s="5" t="inlineStr">
        <is>
          <t>20725</t>
        </is>
      </c>
      <c r="D149" s="5" t="inlineStr">
        <is>
          <t>LUNCH BAG RED RETROSPOT</t>
        </is>
      </c>
      <c r="E149" s="7" t="n">
        <v>16.5</v>
      </c>
      <c r="F149" s="8" t="n">
        <v>10</v>
      </c>
      <c r="G149" s="8" t="n">
        <v>1</v>
      </c>
      <c r="H149" s="5" t="n">
        <v>2010</v>
      </c>
      <c r="I149" s="5" t="n">
        <v>5</v>
      </c>
    </row>
    <row r="150">
      <c r="A150" s="5" t="inlineStr">
        <is>
          <t>2010-05</t>
        </is>
      </c>
      <c r="B150" s="5" t="inlineStr">
        <is>
          <t>Ireland (EIRE)</t>
        </is>
      </c>
      <c r="C150" s="5" t="inlineStr">
        <is>
          <t>22423</t>
        </is>
      </c>
      <c r="D150" s="5" t="inlineStr">
        <is>
          <t>REGENCY CAKESTAND 3 TIER</t>
        </is>
      </c>
      <c r="E150" s="7" t="n">
        <v>579.9</v>
      </c>
      <c r="F150" s="8" t="n">
        <v>50</v>
      </c>
      <c r="G150" s="8" t="n">
        <v>8</v>
      </c>
      <c r="H150" s="5" t="n">
        <v>2010</v>
      </c>
      <c r="I150" s="5" t="n">
        <v>5</v>
      </c>
    </row>
    <row r="151">
      <c r="A151" s="5" t="inlineStr">
        <is>
          <t>2010-05</t>
        </is>
      </c>
      <c r="B151" s="5" t="inlineStr">
        <is>
          <t>Ireland (EIRE)</t>
        </is>
      </c>
      <c r="C151" s="5" t="inlineStr">
        <is>
          <t>47566</t>
        </is>
      </c>
      <c r="D151" s="5" t="inlineStr">
        <is>
          <t>PARTY BUNTING</t>
        </is>
      </c>
      <c r="E151" s="7" t="n">
        <v>74.40000000000001</v>
      </c>
      <c r="F151" s="8" t="n">
        <v>16</v>
      </c>
      <c r="G151" s="8" t="n">
        <v>3</v>
      </c>
      <c r="H151" s="5" t="n">
        <v>2010</v>
      </c>
      <c r="I151" s="5" t="n">
        <v>5</v>
      </c>
    </row>
    <row r="152">
      <c r="A152" s="5" t="inlineStr">
        <is>
          <t>2010-05</t>
        </is>
      </c>
      <c r="B152" s="5" t="inlineStr">
        <is>
          <t>Ireland (EIRE)</t>
        </is>
      </c>
      <c r="C152" s="5" t="inlineStr">
        <is>
          <t>79321</t>
        </is>
      </c>
      <c r="D152" s="5" t="inlineStr">
        <is>
          <t>CHILLI LIGHTS</t>
        </is>
      </c>
      <c r="E152" s="7" t="n">
        <v>79.2</v>
      </c>
      <c r="F152" s="8" t="n">
        <v>16</v>
      </c>
      <c r="G152" s="8" t="n">
        <v>2</v>
      </c>
      <c r="H152" s="5" t="n">
        <v>2010</v>
      </c>
      <c r="I152" s="5" t="n">
        <v>5</v>
      </c>
    </row>
    <row r="153">
      <c r="A153" s="5" t="inlineStr">
        <is>
          <t>2010-05</t>
        </is>
      </c>
      <c r="B153" s="5" t="inlineStr">
        <is>
          <t>Ireland (EIRE)</t>
        </is>
      </c>
      <c r="C153" s="5" t="inlineStr">
        <is>
          <t>84879</t>
        </is>
      </c>
      <c r="D153" s="5" t="inlineStr">
        <is>
          <t>ASSORTED COLOUR BIRD ORNAMENT</t>
        </is>
      </c>
      <c r="E153" s="7" t="n">
        <v>13.52</v>
      </c>
      <c r="F153" s="8" t="n">
        <v>8</v>
      </c>
      <c r="G153" s="8" t="n">
        <v>1</v>
      </c>
      <c r="H153" s="5" t="n">
        <v>2010</v>
      </c>
      <c r="I153" s="5" t="n">
        <v>5</v>
      </c>
    </row>
    <row r="154">
      <c r="A154" s="5" t="inlineStr">
        <is>
          <t>2010-05</t>
        </is>
      </c>
      <c r="B154" s="5" t="inlineStr">
        <is>
          <t>Ireland (EIRE)</t>
        </is>
      </c>
      <c r="C154" s="5" t="inlineStr">
        <is>
          <t>85099B</t>
        </is>
      </c>
      <c r="D154" s="5" t="inlineStr">
        <is>
          <t>JUMBO BAG RED RETROSPOT</t>
        </is>
      </c>
      <c r="E154" s="7" t="n">
        <v>29.25</v>
      </c>
      <c r="F154" s="8" t="n">
        <v>15</v>
      </c>
      <c r="G154" s="8" t="n">
        <v>2</v>
      </c>
      <c r="H154" s="5" t="n">
        <v>2010</v>
      </c>
      <c r="I154" s="5" t="n">
        <v>5</v>
      </c>
    </row>
    <row r="155">
      <c r="A155" s="5" t="inlineStr">
        <is>
          <t>2010-05</t>
        </is>
      </c>
      <c r="B155" s="5" t="inlineStr">
        <is>
          <t>Ireland (EIRE)</t>
        </is>
      </c>
      <c r="C155" s="5" t="inlineStr">
        <is>
          <t>85123A</t>
        </is>
      </c>
      <c r="D155" s="5" t="inlineStr">
        <is>
          <t>WHITE HANGING HEART T-LIGHT HOLDER</t>
        </is>
      </c>
      <c r="E155" s="7" t="n">
        <v>70.8</v>
      </c>
      <c r="F155" s="8" t="n">
        <v>24</v>
      </c>
      <c r="G155" s="8" t="n">
        <v>2</v>
      </c>
      <c r="H155" s="5" t="n">
        <v>2010</v>
      </c>
      <c r="I155" s="5" t="n">
        <v>5</v>
      </c>
    </row>
    <row r="156">
      <c r="A156" s="5" t="inlineStr">
        <is>
          <t>2010-05</t>
        </is>
      </c>
      <c r="B156" s="5" t="inlineStr">
        <is>
          <t>Ireland (EIRE)</t>
        </is>
      </c>
      <c r="C156" s="5" t="inlineStr">
        <is>
          <t>ALL OTHER PRODUCTS</t>
        </is>
      </c>
      <c r="D156" s="5" t="inlineStr">
        <is>
          <t>All other products</t>
        </is>
      </c>
      <c r="E156" s="7" t="n">
        <v>17772.02</v>
      </c>
      <c r="F156" s="8" t="n">
        <v>9608</v>
      </c>
      <c r="G156" s="8" t="n">
        <v>18</v>
      </c>
      <c r="H156" s="5" t="n">
        <v>2010</v>
      </c>
      <c r="I156" s="5" t="n">
        <v>5</v>
      </c>
    </row>
    <row r="157">
      <c r="A157" s="5" t="inlineStr">
        <is>
          <t>2010-05</t>
        </is>
      </c>
      <c r="B157" s="5" t="inlineStr">
        <is>
          <t>Rest of Europe</t>
        </is>
      </c>
      <c r="C157" s="5" t="inlineStr">
        <is>
          <t>20725</t>
        </is>
      </c>
      <c r="D157" s="5" t="inlineStr">
        <is>
          <t>LUNCH BAG RED RETROSPOT</t>
        </is>
      </c>
      <c r="E157" s="7" t="n">
        <v>488</v>
      </c>
      <c r="F157" s="8" t="n">
        <v>320</v>
      </c>
      <c r="G157" s="8" t="n">
        <v>9</v>
      </c>
      <c r="H157" s="5" t="n">
        <v>2010</v>
      </c>
      <c r="I157" s="5" t="n">
        <v>5</v>
      </c>
    </row>
    <row r="158">
      <c r="A158" s="5" t="inlineStr">
        <is>
          <t>2010-05</t>
        </is>
      </c>
      <c r="B158" s="5" t="inlineStr">
        <is>
          <t>Rest of Europe</t>
        </is>
      </c>
      <c r="C158" s="5" t="inlineStr">
        <is>
          <t>22197</t>
        </is>
      </c>
      <c r="D158" s="5" t="inlineStr">
        <is>
          <t>SMALL POPCORN HOLDER</t>
        </is>
      </c>
      <c r="E158" s="7" t="n">
        <v>24.65</v>
      </c>
      <c r="F158" s="8" t="n">
        <v>29</v>
      </c>
      <c r="G158" s="8" t="n">
        <v>2</v>
      </c>
      <c r="H158" s="5" t="n">
        <v>2010</v>
      </c>
      <c r="I158" s="5" t="n">
        <v>5</v>
      </c>
    </row>
    <row r="159">
      <c r="A159" s="5" t="inlineStr">
        <is>
          <t>2010-05</t>
        </is>
      </c>
      <c r="B159" s="5" t="inlineStr">
        <is>
          <t>Rest of Europe</t>
        </is>
      </c>
      <c r="C159" s="5" t="inlineStr">
        <is>
          <t>22386</t>
        </is>
      </c>
      <c r="D159" s="5" t="inlineStr">
        <is>
          <t>JUMBO BAG PINK POLKADOT</t>
        </is>
      </c>
      <c r="E159" s="7" t="n">
        <v>466.5</v>
      </c>
      <c r="F159" s="8" t="n">
        <v>270</v>
      </c>
      <c r="G159" s="8" t="n">
        <v>6</v>
      </c>
      <c r="H159" s="5" t="n">
        <v>2010</v>
      </c>
      <c r="I159" s="5" t="n">
        <v>5</v>
      </c>
    </row>
    <row r="160">
      <c r="A160" s="5" t="inlineStr">
        <is>
          <t>2010-05</t>
        </is>
      </c>
      <c r="B160" s="5" t="inlineStr">
        <is>
          <t>Rest of Europe</t>
        </is>
      </c>
      <c r="C160" s="5" t="inlineStr">
        <is>
          <t>22423</t>
        </is>
      </c>
      <c r="D160" s="5" t="inlineStr">
        <is>
          <t>REGENCY CAKESTAND 3 TIER</t>
        </is>
      </c>
      <c r="E160" s="7" t="n">
        <v>1143.75</v>
      </c>
      <c r="F160" s="8" t="n">
        <v>101</v>
      </c>
      <c r="G160" s="8" t="n">
        <v>10</v>
      </c>
      <c r="H160" s="5" t="n">
        <v>2010</v>
      </c>
      <c r="I160" s="5" t="n">
        <v>5</v>
      </c>
    </row>
    <row r="161">
      <c r="A161" s="5" t="inlineStr">
        <is>
          <t>2010-05</t>
        </is>
      </c>
      <c r="B161" s="5" t="inlineStr">
        <is>
          <t>Rest of Europe</t>
        </is>
      </c>
      <c r="C161" s="5" t="inlineStr">
        <is>
          <t>47566</t>
        </is>
      </c>
      <c r="D161" s="5" t="inlineStr">
        <is>
          <t>PARTY BUNTING</t>
        </is>
      </c>
      <c r="E161" s="7" t="n">
        <v>350.25</v>
      </c>
      <c r="F161" s="8" t="n">
        <v>85</v>
      </c>
      <c r="G161" s="8" t="n">
        <v>5</v>
      </c>
      <c r="H161" s="5" t="n">
        <v>2010</v>
      </c>
      <c r="I161" s="5" t="n">
        <v>5</v>
      </c>
    </row>
    <row r="162">
      <c r="A162" s="5" t="inlineStr">
        <is>
          <t>2010-05</t>
        </is>
      </c>
      <c r="B162" s="5" t="inlineStr">
        <is>
          <t>Rest of Europe</t>
        </is>
      </c>
      <c r="C162" s="5" t="inlineStr">
        <is>
          <t>79321</t>
        </is>
      </c>
      <c r="D162" s="5" t="inlineStr">
        <is>
          <t>CHILLI LIGHTS</t>
        </is>
      </c>
      <c r="E162" s="7" t="n">
        <v>39.6</v>
      </c>
      <c r="F162" s="8" t="n">
        <v>8</v>
      </c>
      <c r="G162" s="8" t="n">
        <v>2</v>
      </c>
      <c r="H162" s="5" t="n">
        <v>2010</v>
      </c>
      <c r="I162" s="5" t="n">
        <v>5</v>
      </c>
    </row>
    <row r="163">
      <c r="A163" s="5" t="inlineStr">
        <is>
          <t>2010-05</t>
        </is>
      </c>
      <c r="B163" s="5" t="inlineStr">
        <is>
          <t>Rest of Europe</t>
        </is>
      </c>
      <c r="C163" s="5" t="inlineStr">
        <is>
          <t>84879</t>
        </is>
      </c>
      <c r="D163" s="5" t="inlineStr">
        <is>
          <t>ASSORTED COLOUR BIRD ORNAMENT</t>
        </is>
      </c>
      <c r="E163" s="7" t="n">
        <v>340.16</v>
      </c>
      <c r="F163" s="8" t="n">
        <v>224</v>
      </c>
      <c r="G163" s="8" t="n">
        <v>5</v>
      </c>
      <c r="H163" s="5" t="n">
        <v>2010</v>
      </c>
      <c r="I163" s="5" t="n">
        <v>5</v>
      </c>
    </row>
    <row r="164">
      <c r="A164" s="5" t="inlineStr">
        <is>
          <t>2010-05</t>
        </is>
      </c>
      <c r="B164" s="5" t="inlineStr">
        <is>
          <t>Rest of Europe</t>
        </is>
      </c>
      <c r="C164" s="5" t="inlineStr">
        <is>
          <t>85099B</t>
        </is>
      </c>
      <c r="D164" s="5" t="inlineStr">
        <is>
          <t>JUMBO BAG RED RETROSPOT</t>
        </is>
      </c>
      <c r="E164" s="7" t="n">
        <v>733.5</v>
      </c>
      <c r="F164" s="8" t="n">
        <v>430</v>
      </c>
      <c r="G164" s="8" t="n">
        <v>8</v>
      </c>
      <c r="H164" s="5" t="n">
        <v>2010</v>
      </c>
      <c r="I164" s="5" t="n">
        <v>5</v>
      </c>
    </row>
    <row r="165">
      <c r="A165" s="5" t="inlineStr">
        <is>
          <t>2010-05</t>
        </is>
      </c>
      <c r="B165" s="5" t="inlineStr">
        <is>
          <t>Rest of Europe</t>
        </is>
      </c>
      <c r="C165" s="5" t="inlineStr">
        <is>
          <t>85123A</t>
        </is>
      </c>
      <c r="D165" s="5" t="inlineStr">
        <is>
          <t>WHITE HANGING HEART T-LIGHT HOLDER</t>
        </is>
      </c>
      <c r="E165" s="7" t="n">
        <v>1200.45</v>
      </c>
      <c r="F165" s="8" t="n">
        <v>459</v>
      </c>
      <c r="G165" s="8" t="n">
        <v>12</v>
      </c>
      <c r="H165" s="5" t="n">
        <v>2010</v>
      </c>
      <c r="I165" s="5" t="n">
        <v>5</v>
      </c>
    </row>
    <row r="166">
      <c r="A166" s="5" t="inlineStr">
        <is>
          <t>2010-05</t>
        </is>
      </c>
      <c r="B166" s="5" t="inlineStr">
        <is>
          <t>Rest of Europe</t>
        </is>
      </c>
      <c r="C166" s="5" t="inlineStr">
        <is>
          <t>ALL OTHER PRODUCTS</t>
        </is>
      </c>
      <c r="D166" s="5" t="inlineStr">
        <is>
          <t>All other products</t>
        </is>
      </c>
      <c r="E166" s="7" t="n">
        <v>66744.38</v>
      </c>
      <c r="F166" s="8" t="n">
        <v>45121</v>
      </c>
      <c r="G166" s="8" t="n">
        <v>77</v>
      </c>
      <c r="H166" s="5" t="n">
        <v>2010</v>
      </c>
      <c r="I166" s="5" t="n">
        <v>5</v>
      </c>
    </row>
    <row r="167">
      <c r="A167" s="5" t="inlineStr">
        <is>
          <t>2010-05</t>
        </is>
      </c>
      <c r="B167" s="5" t="inlineStr">
        <is>
          <t>Rest of World</t>
        </is>
      </c>
      <c r="C167" s="5" t="inlineStr">
        <is>
          <t>22086</t>
        </is>
      </c>
      <c r="D167" s="5" t="inlineStr">
        <is>
          <t>PAPER CHAIN KIT 50'S CHRISTMAS</t>
        </is>
      </c>
      <c r="E167" s="7" t="n">
        <v>17.7</v>
      </c>
      <c r="F167" s="8" t="n">
        <v>6</v>
      </c>
      <c r="G167" s="8" t="n">
        <v>1</v>
      </c>
      <c r="H167" s="5" t="n">
        <v>2010</v>
      </c>
      <c r="I167" s="5" t="n">
        <v>5</v>
      </c>
    </row>
    <row r="168">
      <c r="A168" s="5" t="inlineStr">
        <is>
          <t>2010-05</t>
        </is>
      </c>
      <c r="B168" s="5" t="inlineStr">
        <is>
          <t>Rest of World</t>
        </is>
      </c>
      <c r="C168" s="5" t="inlineStr">
        <is>
          <t>ALL OTHER PRODUCTS</t>
        </is>
      </c>
      <c r="D168" s="5" t="inlineStr">
        <is>
          <t>All other products</t>
        </is>
      </c>
      <c r="E168" s="7" t="n">
        <v>2297.27</v>
      </c>
      <c r="F168" s="8" t="n">
        <v>1424</v>
      </c>
      <c r="G168" s="8" t="n">
        <v>8</v>
      </c>
      <c r="H168" s="5" t="n">
        <v>2010</v>
      </c>
      <c r="I168" s="5" t="n">
        <v>5</v>
      </c>
    </row>
    <row r="169">
      <c r="A169" s="5" t="inlineStr">
        <is>
          <t>2010-05</t>
        </is>
      </c>
      <c r="B169" s="5" t="inlineStr">
        <is>
          <t>United Kingdom</t>
        </is>
      </c>
      <c r="C169" s="5" t="inlineStr">
        <is>
          <t>20725</t>
        </is>
      </c>
      <c r="D169" s="5" t="inlineStr">
        <is>
          <t>LUNCH BAG RED RETROSPOT</t>
        </is>
      </c>
      <c r="E169" s="7" t="n">
        <v>2983.22</v>
      </c>
      <c r="F169" s="8" t="n">
        <v>1890</v>
      </c>
      <c r="G169" s="8" t="n">
        <v>120</v>
      </c>
      <c r="H169" s="5" t="n">
        <v>2010</v>
      </c>
      <c r="I169" s="5" t="n">
        <v>5</v>
      </c>
    </row>
    <row r="170">
      <c r="A170" s="5" t="inlineStr">
        <is>
          <t>2010-05</t>
        </is>
      </c>
      <c r="B170" s="5" t="inlineStr">
        <is>
          <t>United Kingdom</t>
        </is>
      </c>
      <c r="C170" s="5" t="inlineStr">
        <is>
          <t>22086</t>
        </is>
      </c>
      <c r="D170" s="5" t="inlineStr">
        <is>
          <t>PAPER CHAIN KIT 50'S CHRISTMAS</t>
        </is>
      </c>
      <c r="E170" s="7" t="n">
        <v>137.4</v>
      </c>
      <c r="F170" s="8" t="n">
        <v>52</v>
      </c>
      <c r="G170" s="8" t="n">
        <v>4</v>
      </c>
      <c r="H170" s="5" t="n">
        <v>2010</v>
      </c>
      <c r="I170" s="5" t="n">
        <v>5</v>
      </c>
    </row>
    <row r="171">
      <c r="A171" s="5" t="inlineStr">
        <is>
          <t>2010-05</t>
        </is>
      </c>
      <c r="B171" s="5" t="inlineStr">
        <is>
          <t>United Kingdom</t>
        </is>
      </c>
      <c r="C171" s="5" t="inlineStr">
        <is>
          <t>22197</t>
        </is>
      </c>
      <c r="D171" s="5" t="inlineStr">
        <is>
          <t>SMALL POPCORN HOLDER</t>
        </is>
      </c>
      <c r="E171" s="7" t="n">
        <v>645.63</v>
      </c>
      <c r="F171" s="8" t="n">
        <v>767</v>
      </c>
      <c r="G171" s="8" t="n">
        <v>54</v>
      </c>
      <c r="H171" s="5" t="n">
        <v>2010</v>
      </c>
      <c r="I171" s="5" t="n">
        <v>5</v>
      </c>
    </row>
    <row r="172">
      <c r="A172" s="5" t="inlineStr">
        <is>
          <t>2010-05</t>
        </is>
      </c>
      <c r="B172" s="5" t="inlineStr">
        <is>
          <t>United Kingdom</t>
        </is>
      </c>
      <c r="C172" s="5" t="inlineStr">
        <is>
          <t>22386</t>
        </is>
      </c>
      <c r="D172" s="5" t="inlineStr">
        <is>
          <t>JUMBO BAG PINK POLKADOT</t>
        </is>
      </c>
      <c r="E172" s="7" t="n">
        <v>2757.54</v>
      </c>
      <c r="F172" s="8" t="n">
        <v>1588</v>
      </c>
      <c r="G172" s="8" t="n">
        <v>86</v>
      </c>
      <c r="H172" s="5" t="n">
        <v>2010</v>
      </c>
      <c r="I172" s="5" t="n">
        <v>5</v>
      </c>
    </row>
    <row r="173">
      <c r="A173" s="5" t="inlineStr">
        <is>
          <t>2010-05</t>
        </is>
      </c>
      <c r="B173" s="5" t="inlineStr">
        <is>
          <t>United Kingdom</t>
        </is>
      </c>
      <c r="C173" s="5" t="inlineStr">
        <is>
          <t>22423</t>
        </is>
      </c>
      <c r="D173" s="5" t="inlineStr">
        <is>
          <t>REGENCY CAKESTAND 3 TIER</t>
        </is>
      </c>
      <c r="E173" s="7" t="n">
        <v>5048.23</v>
      </c>
      <c r="F173" s="8" t="n">
        <v>389</v>
      </c>
      <c r="G173" s="8" t="n">
        <v>109</v>
      </c>
      <c r="H173" s="5" t="n">
        <v>2010</v>
      </c>
      <c r="I173" s="5" t="n">
        <v>5</v>
      </c>
    </row>
    <row r="174">
      <c r="A174" s="5" t="inlineStr">
        <is>
          <t>2010-05</t>
        </is>
      </c>
      <c r="B174" s="5" t="inlineStr">
        <is>
          <t>United Kingdom</t>
        </is>
      </c>
      <c r="C174" s="5" t="inlineStr">
        <is>
          <t>47566</t>
        </is>
      </c>
      <c r="D174" s="5" t="inlineStr">
        <is>
          <t>PARTY BUNTING</t>
        </is>
      </c>
      <c r="E174" s="7" t="n">
        <v>9256.860000000001</v>
      </c>
      <c r="F174" s="8" t="n">
        <v>2050</v>
      </c>
      <c r="G174" s="8" t="n">
        <v>171</v>
      </c>
      <c r="H174" s="5" t="n">
        <v>2010</v>
      </c>
      <c r="I174" s="5" t="n">
        <v>5</v>
      </c>
    </row>
    <row r="175">
      <c r="A175" s="5" t="inlineStr">
        <is>
          <t>2010-05</t>
        </is>
      </c>
      <c r="B175" s="5" t="inlineStr">
        <is>
          <t>United Kingdom</t>
        </is>
      </c>
      <c r="C175" s="5" t="inlineStr">
        <is>
          <t>79321</t>
        </is>
      </c>
      <c r="D175" s="5" t="inlineStr">
        <is>
          <t>CHILLI LIGHTS</t>
        </is>
      </c>
      <c r="E175" s="7" t="n">
        <v>979.5599999999999</v>
      </c>
      <c r="F175" s="8" t="n">
        <v>210</v>
      </c>
      <c r="G175" s="8" t="n">
        <v>29</v>
      </c>
      <c r="H175" s="5" t="n">
        <v>2010</v>
      </c>
      <c r="I175" s="5" t="n">
        <v>5</v>
      </c>
    </row>
    <row r="176">
      <c r="A176" s="5" t="inlineStr">
        <is>
          <t>2010-05</t>
        </is>
      </c>
      <c r="B176" s="5" t="inlineStr">
        <is>
          <t>United Kingdom</t>
        </is>
      </c>
      <c r="C176" s="5" t="inlineStr">
        <is>
          <t>84879</t>
        </is>
      </c>
      <c r="D176" s="5" t="inlineStr">
        <is>
          <t>ASSORTED COLOUR BIRD ORNAMENT</t>
        </is>
      </c>
      <c r="E176" s="7" t="n">
        <v>3204</v>
      </c>
      <c r="F176" s="8" t="n">
        <v>1920</v>
      </c>
      <c r="G176" s="8" t="n">
        <v>96</v>
      </c>
      <c r="H176" s="5" t="n">
        <v>2010</v>
      </c>
      <c r="I176" s="5" t="n">
        <v>5</v>
      </c>
    </row>
    <row r="177">
      <c r="A177" s="5" t="inlineStr">
        <is>
          <t>2010-05</t>
        </is>
      </c>
      <c r="B177" s="5" t="inlineStr">
        <is>
          <t>United Kingdom</t>
        </is>
      </c>
      <c r="C177" s="5" t="inlineStr">
        <is>
          <t>85099B</t>
        </is>
      </c>
      <c r="D177" s="5" t="inlineStr">
        <is>
          <t>JUMBO BAG RED RETROSPOT</t>
        </is>
      </c>
      <c r="E177" s="7" t="n">
        <v>5611.7</v>
      </c>
      <c r="F177" s="8" t="n">
        <v>3168</v>
      </c>
      <c r="G177" s="8" t="n">
        <v>134</v>
      </c>
      <c r="H177" s="5" t="n">
        <v>2010</v>
      </c>
      <c r="I177" s="5" t="n">
        <v>5</v>
      </c>
    </row>
    <row r="178">
      <c r="A178" s="5" t="inlineStr">
        <is>
          <t>2010-05</t>
        </is>
      </c>
      <c r="B178" s="5" t="inlineStr">
        <is>
          <t>United Kingdom</t>
        </is>
      </c>
      <c r="C178" s="5" t="inlineStr">
        <is>
          <t>85123A</t>
        </is>
      </c>
      <c r="D178" s="5" t="inlineStr">
        <is>
          <t>WHITE HANGING HEART T-LIGHT HOLDER</t>
        </is>
      </c>
      <c r="E178" s="7" t="n">
        <v>10681.49</v>
      </c>
      <c r="F178" s="8" t="n">
        <v>3947</v>
      </c>
      <c r="G178" s="8" t="n">
        <v>232</v>
      </c>
      <c r="H178" s="5" t="n">
        <v>2010</v>
      </c>
      <c r="I178" s="5" t="n">
        <v>5</v>
      </c>
    </row>
    <row r="179">
      <c r="A179" s="5" t="inlineStr">
        <is>
          <t>2010-05</t>
        </is>
      </c>
      <c r="B179" s="5" t="inlineStr">
        <is>
          <t>United Kingdom</t>
        </is>
      </c>
      <c r="C179" s="5" t="inlineStr">
        <is>
          <t>ALL OTHER PRODUCTS</t>
        </is>
      </c>
      <c r="D179" s="5" t="inlineStr">
        <is>
          <t>All other products</t>
        </is>
      </c>
      <c r="E179" s="7" t="n">
        <v>509704.6</v>
      </c>
      <c r="F179" s="8" t="n">
        <v>321233</v>
      </c>
      <c r="G179" s="8" t="n">
        <v>1369</v>
      </c>
      <c r="H179" s="5" t="n">
        <v>2010</v>
      </c>
      <c r="I179" s="5" t="n">
        <v>5</v>
      </c>
    </row>
    <row r="180">
      <c r="A180" s="5" t="inlineStr">
        <is>
          <t>2010-06</t>
        </is>
      </c>
      <c r="B180" s="5" t="inlineStr">
        <is>
          <t>Ireland (EIRE)</t>
        </is>
      </c>
      <c r="C180" s="5" t="inlineStr">
        <is>
          <t>20725</t>
        </is>
      </c>
      <c r="D180" s="5" t="inlineStr">
        <is>
          <t>LUNCH BAG RED RETROSPOT</t>
        </is>
      </c>
      <c r="E180" s="7" t="n">
        <v>161.5</v>
      </c>
      <c r="F180" s="8" t="n">
        <v>110</v>
      </c>
      <c r="G180" s="8" t="n">
        <v>2</v>
      </c>
      <c r="H180" s="5" t="n">
        <v>2010</v>
      </c>
      <c r="I180" s="5" t="n">
        <v>6</v>
      </c>
    </row>
    <row r="181">
      <c r="A181" s="5" t="inlineStr">
        <is>
          <t>2010-06</t>
        </is>
      </c>
      <c r="B181" s="5" t="inlineStr">
        <is>
          <t>Ireland (EIRE)</t>
        </is>
      </c>
      <c r="C181" s="5" t="inlineStr">
        <is>
          <t>22197</t>
        </is>
      </c>
      <c r="D181" s="5" t="inlineStr">
        <is>
          <t>SMALL POPCORN HOLDER</t>
        </is>
      </c>
      <c r="E181" s="7" t="n">
        <v>339</v>
      </c>
      <c r="F181" s="8" t="n">
        <v>460</v>
      </c>
      <c r="G181" s="8" t="n">
        <v>4</v>
      </c>
      <c r="H181" s="5" t="n">
        <v>2010</v>
      </c>
      <c r="I181" s="5" t="n">
        <v>6</v>
      </c>
    </row>
    <row r="182">
      <c r="A182" s="5" t="inlineStr">
        <is>
          <t>2010-06</t>
        </is>
      </c>
      <c r="B182" s="5" t="inlineStr">
        <is>
          <t>Ireland (EIRE)</t>
        </is>
      </c>
      <c r="C182" s="5" t="inlineStr">
        <is>
          <t>22386</t>
        </is>
      </c>
      <c r="D182" s="5" t="inlineStr">
        <is>
          <t>JUMBO BAG PINK POLKADOT</t>
        </is>
      </c>
      <c r="E182" s="7" t="n">
        <v>19.5</v>
      </c>
      <c r="F182" s="8" t="n">
        <v>10</v>
      </c>
      <c r="G182" s="8" t="n">
        <v>1</v>
      </c>
      <c r="H182" s="5" t="n">
        <v>2010</v>
      </c>
      <c r="I182" s="5" t="n">
        <v>6</v>
      </c>
    </row>
    <row r="183">
      <c r="A183" s="5" t="inlineStr">
        <is>
          <t>2010-06</t>
        </is>
      </c>
      <c r="B183" s="5" t="inlineStr">
        <is>
          <t>Ireland (EIRE)</t>
        </is>
      </c>
      <c r="C183" s="5" t="inlineStr">
        <is>
          <t>22423</t>
        </is>
      </c>
      <c r="D183" s="5" t="inlineStr">
        <is>
          <t>REGENCY CAKESTAND 3 TIER</t>
        </is>
      </c>
      <c r="E183" s="7" t="n">
        <v>368.1</v>
      </c>
      <c r="F183" s="8" t="n">
        <v>30</v>
      </c>
      <c r="G183" s="8" t="n">
        <v>5</v>
      </c>
      <c r="H183" s="5" t="n">
        <v>2010</v>
      </c>
      <c r="I183" s="5" t="n">
        <v>6</v>
      </c>
    </row>
    <row r="184">
      <c r="A184" s="5" t="inlineStr">
        <is>
          <t>2010-06</t>
        </is>
      </c>
      <c r="B184" s="5" t="inlineStr">
        <is>
          <t>Ireland (EIRE)</t>
        </is>
      </c>
      <c r="C184" s="5" t="inlineStr">
        <is>
          <t>47566</t>
        </is>
      </c>
      <c r="D184" s="5" t="inlineStr">
        <is>
          <t>PARTY BUNTING</t>
        </is>
      </c>
      <c r="E184" s="7" t="n">
        <v>46.5</v>
      </c>
      <c r="F184" s="8" t="n">
        <v>10</v>
      </c>
      <c r="G184" s="8" t="n">
        <v>1</v>
      </c>
      <c r="H184" s="5" t="n">
        <v>2010</v>
      </c>
      <c r="I184" s="5" t="n">
        <v>6</v>
      </c>
    </row>
    <row r="185">
      <c r="A185" s="5" t="inlineStr">
        <is>
          <t>2010-06</t>
        </is>
      </c>
      <c r="B185" s="5" t="inlineStr">
        <is>
          <t>Ireland (EIRE)</t>
        </is>
      </c>
      <c r="C185" s="5" t="inlineStr">
        <is>
          <t>85099B</t>
        </is>
      </c>
      <c r="D185" s="5" t="inlineStr">
        <is>
          <t>JUMBO BAG RED RETROSPOT</t>
        </is>
      </c>
      <c r="E185" s="7" t="n">
        <v>19.5</v>
      </c>
      <c r="F185" s="8" t="n">
        <v>10</v>
      </c>
      <c r="G185" s="8" t="n">
        <v>1</v>
      </c>
      <c r="H185" s="5" t="n">
        <v>2010</v>
      </c>
      <c r="I185" s="5" t="n">
        <v>6</v>
      </c>
    </row>
    <row r="186">
      <c r="A186" s="5" t="inlineStr">
        <is>
          <t>2010-06</t>
        </is>
      </c>
      <c r="B186" s="5" t="inlineStr">
        <is>
          <t>Ireland (EIRE)</t>
        </is>
      </c>
      <c r="C186" s="5" t="inlineStr">
        <is>
          <t>85123A</t>
        </is>
      </c>
      <c r="D186" s="5" t="inlineStr">
        <is>
          <t>WHITE HANGING HEART T-LIGHT HOLDER</t>
        </is>
      </c>
      <c r="E186" s="7" t="n">
        <v>106.2</v>
      </c>
      <c r="F186" s="8" t="n">
        <v>36</v>
      </c>
      <c r="G186" s="8" t="n">
        <v>3</v>
      </c>
      <c r="H186" s="5" t="n">
        <v>2010</v>
      </c>
      <c r="I186" s="5" t="n">
        <v>6</v>
      </c>
    </row>
    <row r="187">
      <c r="A187" s="5" t="inlineStr">
        <is>
          <t>2010-06</t>
        </is>
      </c>
      <c r="B187" s="5" t="inlineStr">
        <is>
          <t>Ireland (EIRE)</t>
        </is>
      </c>
      <c r="C187" s="5" t="inlineStr">
        <is>
          <t>ALL OTHER PRODUCTS</t>
        </is>
      </c>
      <c r="D187" s="5" t="inlineStr">
        <is>
          <t>All other products</t>
        </is>
      </c>
      <c r="E187" s="7" t="n">
        <v>21388.91</v>
      </c>
      <c r="F187" s="8" t="n">
        <v>11631</v>
      </c>
      <c r="G187" s="8" t="n">
        <v>23</v>
      </c>
      <c r="H187" s="5" t="n">
        <v>2010</v>
      </c>
      <c r="I187" s="5" t="n">
        <v>6</v>
      </c>
    </row>
    <row r="188">
      <c r="A188" s="5" t="inlineStr">
        <is>
          <t>2010-06</t>
        </is>
      </c>
      <c r="B188" s="5" t="inlineStr">
        <is>
          <t>Rest of Europe</t>
        </is>
      </c>
      <c r="C188" s="5" t="inlineStr">
        <is>
          <t>20725</t>
        </is>
      </c>
      <c r="D188" s="5" t="inlineStr">
        <is>
          <t>LUNCH BAG RED RETROSPOT</t>
        </is>
      </c>
      <c r="E188" s="7" t="n">
        <v>653</v>
      </c>
      <c r="F188" s="8" t="n">
        <v>420</v>
      </c>
      <c r="G188" s="8" t="n">
        <v>15</v>
      </c>
      <c r="H188" s="5" t="n">
        <v>2010</v>
      </c>
      <c r="I188" s="5" t="n">
        <v>6</v>
      </c>
    </row>
    <row r="189">
      <c r="A189" s="5" t="inlineStr">
        <is>
          <t>2010-06</t>
        </is>
      </c>
      <c r="B189" s="5" t="inlineStr">
        <is>
          <t>Rest of Europe</t>
        </is>
      </c>
      <c r="C189" s="5" t="inlineStr">
        <is>
          <t>22086</t>
        </is>
      </c>
      <c r="D189" s="5" t="inlineStr">
        <is>
          <t>PAPER CHAIN KIT 50'S CHRISTMAS</t>
        </is>
      </c>
      <c r="E189" s="7" t="n">
        <v>23.6</v>
      </c>
      <c r="F189" s="8" t="n">
        <v>8</v>
      </c>
      <c r="G189" s="8" t="n">
        <v>2</v>
      </c>
      <c r="H189" s="5" t="n">
        <v>2010</v>
      </c>
      <c r="I189" s="5" t="n">
        <v>6</v>
      </c>
    </row>
    <row r="190">
      <c r="A190" s="5" t="inlineStr">
        <is>
          <t>2010-06</t>
        </is>
      </c>
      <c r="B190" s="5" t="inlineStr">
        <is>
          <t>Rest of Europe</t>
        </is>
      </c>
      <c r="C190" s="5" t="inlineStr">
        <is>
          <t>22197</t>
        </is>
      </c>
      <c r="D190" s="5" t="inlineStr">
        <is>
          <t>SMALL POPCORN HOLDER</t>
        </is>
      </c>
      <c r="E190" s="7" t="n">
        <v>40.8</v>
      </c>
      <c r="F190" s="8" t="n">
        <v>48</v>
      </c>
      <c r="G190" s="8" t="n">
        <v>3</v>
      </c>
      <c r="H190" s="5" t="n">
        <v>2010</v>
      </c>
      <c r="I190" s="5" t="n">
        <v>6</v>
      </c>
    </row>
    <row r="191">
      <c r="A191" s="5" t="inlineStr">
        <is>
          <t>2010-06</t>
        </is>
      </c>
      <c r="B191" s="5" t="inlineStr">
        <is>
          <t>Rest of Europe</t>
        </is>
      </c>
      <c r="C191" s="5" t="inlineStr">
        <is>
          <t>22386</t>
        </is>
      </c>
      <c r="D191" s="5" t="inlineStr">
        <is>
          <t>JUMBO BAG PINK POLKADOT</t>
        </is>
      </c>
      <c r="E191" s="7" t="n">
        <v>757.5</v>
      </c>
      <c r="F191" s="8" t="n">
        <v>450</v>
      </c>
      <c r="G191" s="8" t="n">
        <v>7</v>
      </c>
      <c r="H191" s="5" t="n">
        <v>2010</v>
      </c>
      <c r="I191" s="5" t="n">
        <v>6</v>
      </c>
    </row>
    <row r="192">
      <c r="A192" s="5" t="inlineStr">
        <is>
          <t>2010-06</t>
        </is>
      </c>
      <c r="B192" s="5" t="inlineStr">
        <is>
          <t>Rest of Europe</t>
        </is>
      </c>
      <c r="C192" s="5" t="inlineStr">
        <is>
          <t>22423</t>
        </is>
      </c>
      <c r="D192" s="5" t="inlineStr">
        <is>
          <t>REGENCY CAKESTAND 3 TIER</t>
        </is>
      </c>
      <c r="E192" s="7" t="n">
        <v>1220.25</v>
      </c>
      <c r="F192" s="8" t="n">
        <v>107</v>
      </c>
      <c r="G192" s="8" t="n">
        <v>9</v>
      </c>
      <c r="H192" s="5" t="n">
        <v>2010</v>
      </c>
      <c r="I192" s="5" t="n">
        <v>6</v>
      </c>
    </row>
    <row r="193">
      <c r="A193" s="5" t="inlineStr">
        <is>
          <t>2010-06</t>
        </is>
      </c>
      <c r="B193" s="5" t="inlineStr">
        <is>
          <t>Rest of Europe</t>
        </is>
      </c>
      <c r="C193" s="5" t="inlineStr">
        <is>
          <t>84879</t>
        </is>
      </c>
      <c r="D193" s="5" t="inlineStr">
        <is>
          <t>ASSORTED COLOUR BIRD ORNAMENT</t>
        </is>
      </c>
      <c r="E193" s="7" t="n">
        <v>529.4400000000001</v>
      </c>
      <c r="F193" s="8" t="n">
        <v>336</v>
      </c>
      <c r="G193" s="8" t="n">
        <v>5</v>
      </c>
      <c r="H193" s="5" t="n">
        <v>2010</v>
      </c>
      <c r="I193" s="5" t="n">
        <v>6</v>
      </c>
    </row>
    <row r="194">
      <c r="A194" s="5" t="inlineStr">
        <is>
          <t>2010-06</t>
        </is>
      </c>
      <c r="B194" s="5" t="inlineStr">
        <is>
          <t>Rest of Europe</t>
        </is>
      </c>
      <c r="C194" s="5" t="inlineStr">
        <is>
          <t>85099B</t>
        </is>
      </c>
      <c r="D194" s="5" t="inlineStr">
        <is>
          <t>JUMBO BAG RED RETROSPOT</t>
        </is>
      </c>
      <c r="E194" s="7" t="n">
        <v>1243.5</v>
      </c>
      <c r="F194" s="8" t="n">
        <v>730</v>
      </c>
      <c r="G194" s="8" t="n">
        <v>13</v>
      </c>
      <c r="H194" s="5" t="n">
        <v>2010</v>
      </c>
      <c r="I194" s="5" t="n">
        <v>6</v>
      </c>
    </row>
    <row r="195">
      <c r="A195" s="5" t="inlineStr">
        <is>
          <t>2010-06</t>
        </is>
      </c>
      <c r="B195" s="5" t="inlineStr">
        <is>
          <t>Rest of Europe</t>
        </is>
      </c>
      <c r="C195" s="5" t="inlineStr">
        <is>
          <t>85123A</t>
        </is>
      </c>
      <c r="D195" s="5" t="inlineStr">
        <is>
          <t>WHITE HANGING HEART T-LIGHT HOLDER</t>
        </is>
      </c>
      <c r="E195" s="7" t="n">
        <v>1002.8</v>
      </c>
      <c r="F195" s="8" t="n">
        <v>392</v>
      </c>
      <c r="G195" s="8" t="n">
        <v>4</v>
      </c>
      <c r="H195" s="5" t="n">
        <v>2010</v>
      </c>
      <c r="I195" s="5" t="n">
        <v>6</v>
      </c>
    </row>
    <row r="196">
      <c r="A196" s="5" t="inlineStr">
        <is>
          <t>2010-06</t>
        </is>
      </c>
      <c r="B196" s="5" t="inlineStr">
        <is>
          <t>Rest of Europe</t>
        </is>
      </c>
      <c r="C196" s="5" t="inlineStr">
        <is>
          <t>ALL OTHER PRODUCTS</t>
        </is>
      </c>
      <c r="D196" s="5" t="inlineStr">
        <is>
          <t>All other products</t>
        </is>
      </c>
      <c r="E196" s="7" t="n">
        <v>59473.72</v>
      </c>
      <c r="F196" s="8" t="n">
        <v>38134</v>
      </c>
      <c r="G196" s="8" t="n">
        <v>82</v>
      </c>
      <c r="H196" s="5" t="n">
        <v>2010</v>
      </c>
      <c r="I196" s="5" t="n">
        <v>6</v>
      </c>
    </row>
    <row r="197">
      <c r="A197" s="5" t="inlineStr">
        <is>
          <t>2010-06</t>
        </is>
      </c>
      <c r="B197" s="5" t="inlineStr">
        <is>
          <t>Rest of World</t>
        </is>
      </c>
      <c r="C197" s="5" t="inlineStr">
        <is>
          <t>20725</t>
        </is>
      </c>
      <c r="D197" s="5" t="inlineStr">
        <is>
          <t>LUNCH BAG RED RETROSPOT</t>
        </is>
      </c>
      <c r="E197" s="7" t="n">
        <v>33</v>
      </c>
      <c r="F197" s="8" t="n">
        <v>20</v>
      </c>
      <c r="G197" s="8" t="n">
        <v>1</v>
      </c>
      <c r="H197" s="5" t="n">
        <v>2010</v>
      </c>
      <c r="I197" s="5" t="n">
        <v>6</v>
      </c>
    </row>
    <row r="198">
      <c r="A198" s="5" t="inlineStr">
        <is>
          <t>2010-06</t>
        </is>
      </c>
      <c r="B198" s="5" t="inlineStr">
        <is>
          <t>Rest of World</t>
        </is>
      </c>
      <c r="C198" s="5" t="inlineStr">
        <is>
          <t>22086</t>
        </is>
      </c>
      <c r="D198" s="5" t="inlineStr">
        <is>
          <t>PAPER CHAIN KIT 50'S CHRISTMAS</t>
        </is>
      </c>
      <c r="E198" s="7" t="n">
        <v>106.2</v>
      </c>
      <c r="F198" s="8" t="n">
        <v>36</v>
      </c>
      <c r="G198" s="8" t="n">
        <v>1</v>
      </c>
      <c r="H198" s="5" t="n">
        <v>2010</v>
      </c>
      <c r="I198" s="5" t="n">
        <v>6</v>
      </c>
    </row>
    <row r="199">
      <c r="A199" s="5" t="inlineStr">
        <is>
          <t>2010-06</t>
        </is>
      </c>
      <c r="B199" s="5" t="inlineStr">
        <is>
          <t>Rest of World</t>
        </is>
      </c>
      <c r="C199" s="5" t="inlineStr">
        <is>
          <t>22386</t>
        </is>
      </c>
      <c r="D199" s="5" t="inlineStr">
        <is>
          <t>JUMBO BAG PINK POLKADOT</t>
        </is>
      </c>
      <c r="E199" s="7" t="n">
        <v>39</v>
      </c>
      <c r="F199" s="8" t="n">
        <v>20</v>
      </c>
      <c r="G199" s="8" t="n">
        <v>1</v>
      </c>
      <c r="H199" s="5" t="n">
        <v>2010</v>
      </c>
      <c r="I199" s="5" t="n">
        <v>6</v>
      </c>
    </row>
    <row r="200">
      <c r="A200" s="5" t="inlineStr">
        <is>
          <t>2010-06</t>
        </is>
      </c>
      <c r="B200" s="5" t="inlineStr">
        <is>
          <t>Rest of World</t>
        </is>
      </c>
      <c r="C200" s="5" t="inlineStr">
        <is>
          <t>22423</t>
        </is>
      </c>
      <c r="D200" s="5" t="inlineStr">
        <is>
          <t>REGENCY CAKESTAND 3 TIER</t>
        </is>
      </c>
      <c r="E200" s="7" t="n">
        <v>51</v>
      </c>
      <c r="F200" s="8" t="n">
        <v>4</v>
      </c>
      <c r="G200" s="8" t="n">
        <v>1</v>
      </c>
      <c r="H200" s="5" t="n">
        <v>2010</v>
      </c>
      <c r="I200" s="5" t="n">
        <v>6</v>
      </c>
    </row>
    <row r="201">
      <c r="A201" s="5" t="inlineStr">
        <is>
          <t>2010-06</t>
        </is>
      </c>
      <c r="B201" s="5" t="inlineStr">
        <is>
          <t>Rest of World</t>
        </is>
      </c>
      <c r="C201" s="5" t="inlineStr">
        <is>
          <t>85099B</t>
        </is>
      </c>
      <c r="D201" s="5" t="inlineStr">
        <is>
          <t>JUMBO BAG RED RETROSPOT</t>
        </is>
      </c>
      <c r="E201" s="7" t="n">
        <v>39</v>
      </c>
      <c r="F201" s="8" t="n">
        <v>20</v>
      </c>
      <c r="G201" s="8" t="n">
        <v>1</v>
      </c>
      <c r="H201" s="5" t="n">
        <v>2010</v>
      </c>
      <c r="I201" s="5" t="n">
        <v>6</v>
      </c>
    </row>
    <row r="202">
      <c r="A202" s="5" t="inlineStr">
        <is>
          <t>2010-06</t>
        </is>
      </c>
      <c r="B202" s="5" t="inlineStr">
        <is>
          <t>Rest of World</t>
        </is>
      </c>
      <c r="C202" s="5" t="inlineStr">
        <is>
          <t>ALL OTHER PRODUCTS</t>
        </is>
      </c>
      <c r="D202" s="5" t="inlineStr">
        <is>
          <t>All other products</t>
        </is>
      </c>
      <c r="E202" s="7" t="n">
        <v>8243.1</v>
      </c>
      <c r="F202" s="8" t="n">
        <v>6348</v>
      </c>
      <c r="G202" s="8" t="n">
        <v>10</v>
      </c>
      <c r="H202" s="5" t="n">
        <v>2010</v>
      </c>
      <c r="I202" s="5" t="n">
        <v>6</v>
      </c>
    </row>
    <row r="203">
      <c r="A203" s="5" t="inlineStr">
        <is>
          <t>2010-06</t>
        </is>
      </c>
      <c r="B203" s="5" t="inlineStr">
        <is>
          <t>United Kingdom</t>
        </is>
      </c>
      <c r="C203" s="5" t="inlineStr">
        <is>
          <t>20725</t>
        </is>
      </c>
      <c r="D203" s="5" t="inlineStr">
        <is>
          <t>LUNCH BAG RED RETROSPOT</t>
        </is>
      </c>
      <c r="E203" s="7" t="n">
        <v>2505.76</v>
      </c>
      <c r="F203" s="8" t="n">
        <v>1484</v>
      </c>
      <c r="G203" s="8" t="n">
        <v>149</v>
      </c>
      <c r="H203" s="5" t="n">
        <v>2010</v>
      </c>
      <c r="I203" s="5" t="n">
        <v>6</v>
      </c>
    </row>
    <row r="204">
      <c r="A204" s="5" t="inlineStr">
        <is>
          <t>2010-06</t>
        </is>
      </c>
      <c r="B204" s="5" t="inlineStr">
        <is>
          <t>United Kingdom</t>
        </is>
      </c>
      <c r="C204" s="5" t="inlineStr">
        <is>
          <t>22086</t>
        </is>
      </c>
      <c r="D204" s="5" t="inlineStr">
        <is>
          <t>PAPER CHAIN KIT 50'S CHRISTMAS</t>
        </is>
      </c>
      <c r="E204" s="7" t="n">
        <v>871.22</v>
      </c>
      <c r="F204" s="8" t="n">
        <v>334</v>
      </c>
      <c r="G204" s="8" t="n">
        <v>9</v>
      </c>
      <c r="H204" s="5" t="n">
        <v>2010</v>
      </c>
      <c r="I204" s="5" t="n">
        <v>6</v>
      </c>
    </row>
    <row r="205">
      <c r="A205" s="5" t="inlineStr">
        <is>
          <t>2010-06</t>
        </is>
      </c>
      <c r="B205" s="5" t="inlineStr">
        <is>
          <t>United Kingdom</t>
        </is>
      </c>
      <c r="C205" s="5" t="inlineStr">
        <is>
          <t>22197</t>
        </is>
      </c>
      <c r="D205" s="5" t="inlineStr">
        <is>
          <t>SMALL POPCORN HOLDER</t>
        </is>
      </c>
      <c r="E205" s="7" t="n">
        <v>1029.98</v>
      </c>
      <c r="F205" s="8" t="n">
        <v>1257</v>
      </c>
      <c r="G205" s="8" t="n">
        <v>86</v>
      </c>
      <c r="H205" s="5" t="n">
        <v>2010</v>
      </c>
      <c r="I205" s="5" t="n">
        <v>6</v>
      </c>
    </row>
    <row r="206">
      <c r="A206" s="5" t="inlineStr">
        <is>
          <t>2010-06</t>
        </is>
      </c>
      <c r="B206" s="5" t="inlineStr">
        <is>
          <t>United Kingdom</t>
        </is>
      </c>
      <c r="C206" s="5" t="inlineStr">
        <is>
          <t>22386</t>
        </is>
      </c>
      <c r="D206" s="5" t="inlineStr">
        <is>
          <t>JUMBO BAG PINK POLKADOT</t>
        </is>
      </c>
      <c r="E206" s="7" t="n">
        <v>2827.08</v>
      </c>
      <c r="F206" s="8" t="n">
        <v>1510</v>
      </c>
      <c r="G206" s="8" t="n">
        <v>104</v>
      </c>
      <c r="H206" s="5" t="n">
        <v>2010</v>
      </c>
      <c r="I206" s="5" t="n">
        <v>6</v>
      </c>
    </row>
    <row r="207">
      <c r="A207" s="5" t="inlineStr">
        <is>
          <t>2010-06</t>
        </is>
      </c>
      <c r="B207" s="5" t="inlineStr">
        <is>
          <t>United Kingdom</t>
        </is>
      </c>
      <c r="C207" s="5" t="inlineStr">
        <is>
          <t>22423</t>
        </is>
      </c>
      <c r="D207" s="5" t="inlineStr">
        <is>
          <t>REGENCY CAKESTAND 3 TIER</t>
        </is>
      </c>
      <c r="E207" s="7" t="n">
        <v>14938.18</v>
      </c>
      <c r="F207" s="8" t="n">
        <v>1214</v>
      </c>
      <c r="G207" s="8" t="n">
        <v>217</v>
      </c>
      <c r="H207" s="5" t="n">
        <v>2010</v>
      </c>
      <c r="I207" s="5" t="n">
        <v>6</v>
      </c>
    </row>
    <row r="208">
      <c r="A208" s="5" t="inlineStr">
        <is>
          <t>2010-06</t>
        </is>
      </c>
      <c r="B208" s="5" t="inlineStr">
        <is>
          <t>United Kingdom</t>
        </is>
      </c>
      <c r="C208" s="5" t="inlineStr">
        <is>
          <t>47566</t>
        </is>
      </c>
      <c r="D208" s="5" t="inlineStr">
        <is>
          <t>PARTY BUNTING</t>
        </is>
      </c>
      <c r="E208" s="7" t="n">
        <v>6134.84</v>
      </c>
      <c r="F208" s="8" t="n">
        <v>1250</v>
      </c>
      <c r="G208" s="8" t="n">
        <v>113</v>
      </c>
      <c r="H208" s="5" t="n">
        <v>2010</v>
      </c>
      <c r="I208" s="5" t="n">
        <v>6</v>
      </c>
    </row>
    <row r="209">
      <c r="A209" s="5" t="inlineStr">
        <is>
          <t>2010-06</t>
        </is>
      </c>
      <c r="B209" s="5" t="inlineStr">
        <is>
          <t>United Kingdom</t>
        </is>
      </c>
      <c r="C209" s="5" t="inlineStr">
        <is>
          <t>79321</t>
        </is>
      </c>
      <c r="D209" s="5" t="inlineStr">
        <is>
          <t>CHILLI LIGHTS</t>
        </is>
      </c>
      <c r="E209" s="7" t="n">
        <v>1442.39</v>
      </c>
      <c r="F209" s="8" t="n">
        <v>317</v>
      </c>
      <c r="G209" s="8" t="n">
        <v>32</v>
      </c>
      <c r="H209" s="5" t="n">
        <v>2010</v>
      </c>
      <c r="I209" s="5" t="n">
        <v>6</v>
      </c>
    </row>
    <row r="210">
      <c r="A210" s="5" t="inlineStr">
        <is>
          <t>2010-06</t>
        </is>
      </c>
      <c r="B210" s="5" t="inlineStr">
        <is>
          <t>United Kingdom</t>
        </is>
      </c>
      <c r="C210" s="5" t="inlineStr">
        <is>
          <t>84347</t>
        </is>
      </c>
      <c r="D210" s="5" t="inlineStr">
        <is>
          <t>ROTATING SILVER ANGELS T-LIGHT HLDR</t>
        </is>
      </c>
      <c r="E210" s="7" t="n">
        <v>15.18</v>
      </c>
      <c r="F210" s="8" t="n">
        <v>3</v>
      </c>
      <c r="G210" s="8" t="n">
        <v>1</v>
      </c>
      <c r="H210" s="5" t="n">
        <v>2010</v>
      </c>
      <c r="I210" s="5" t="n">
        <v>6</v>
      </c>
    </row>
    <row r="211">
      <c r="A211" s="5" t="inlineStr">
        <is>
          <t>2010-06</t>
        </is>
      </c>
      <c r="B211" s="5" t="inlineStr">
        <is>
          <t>United Kingdom</t>
        </is>
      </c>
      <c r="C211" s="5" t="inlineStr">
        <is>
          <t>84879</t>
        </is>
      </c>
      <c r="D211" s="5" t="inlineStr">
        <is>
          <t>ASSORTED COLOUR BIRD ORNAMENT</t>
        </is>
      </c>
      <c r="E211" s="7" t="n">
        <v>2522.7</v>
      </c>
      <c r="F211" s="8" t="n">
        <v>1518</v>
      </c>
      <c r="G211" s="8" t="n">
        <v>81</v>
      </c>
      <c r="H211" s="5" t="n">
        <v>2010</v>
      </c>
      <c r="I211" s="5" t="n">
        <v>6</v>
      </c>
    </row>
    <row r="212">
      <c r="A212" s="5" t="inlineStr">
        <is>
          <t>2010-06</t>
        </is>
      </c>
      <c r="B212" s="5" t="inlineStr">
        <is>
          <t>United Kingdom</t>
        </is>
      </c>
      <c r="C212" s="5" t="inlineStr">
        <is>
          <t>85099B</t>
        </is>
      </c>
      <c r="D212" s="5" t="inlineStr">
        <is>
          <t>JUMBO BAG RED RETROSPOT</t>
        </is>
      </c>
      <c r="E212" s="7" t="n">
        <v>6448.4</v>
      </c>
      <c r="F212" s="8" t="n">
        <v>3552</v>
      </c>
      <c r="G212" s="8" t="n">
        <v>179</v>
      </c>
      <c r="H212" s="5" t="n">
        <v>2010</v>
      </c>
      <c r="I212" s="5" t="n">
        <v>6</v>
      </c>
    </row>
    <row r="213">
      <c r="A213" s="5" t="inlineStr">
        <is>
          <t>2010-06</t>
        </is>
      </c>
      <c r="B213" s="5" t="inlineStr">
        <is>
          <t>United Kingdom</t>
        </is>
      </c>
      <c r="C213" s="5" t="inlineStr">
        <is>
          <t>85123A</t>
        </is>
      </c>
      <c r="D213" s="5" t="inlineStr">
        <is>
          <t>WHITE HANGING HEART T-LIGHT HOLDER</t>
        </is>
      </c>
      <c r="E213" s="7" t="n">
        <v>10636.92</v>
      </c>
      <c r="F213" s="8" t="n">
        <v>3915</v>
      </c>
      <c r="G213" s="8" t="n">
        <v>245</v>
      </c>
      <c r="H213" s="5" t="n">
        <v>2010</v>
      </c>
      <c r="I213" s="5" t="n">
        <v>6</v>
      </c>
    </row>
    <row r="214">
      <c r="A214" s="5" t="inlineStr">
        <is>
          <t>2010-06</t>
        </is>
      </c>
      <c r="B214" s="5" t="inlineStr">
        <is>
          <t>United Kingdom</t>
        </is>
      </c>
      <c r="C214" s="5" t="inlineStr">
        <is>
          <t>ALL OTHER PRODUCTS</t>
        </is>
      </c>
      <c r="D214" s="5" t="inlineStr">
        <is>
          <t>All other products</t>
        </is>
      </c>
      <c r="E214" s="7" t="n">
        <v>551305.42</v>
      </c>
      <c r="F214" s="8" t="n">
        <v>330514</v>
      </c>
      <c r="G214" s="8" t="n">
        <v>1484</v>
      </c>
      <c r="H214" s="5" t="n">
        <v>2010</v>
      </c>
      <c r="I214" s="5" t="n">
        <v>6</v>
      </c>
    </row>
    <row r="215">
      <c r="A215" s="5" t="inlineStr">
        <is>
          <t>2010-07</t>
        </is>
      </c>
      <c r="B215" s="5" t="inlineStr">
        <is>
          <t>Ireland (EIRE)</t>
        </is>
      </c>
      <c r="C215" s="5" t="inlineStr">
        <is>
          <t>20725</t>
        </is>
      </c>
      <c r="D215" s="5" t="inlineStr">
        <is>
          <t>LUNCH BAG RED RETROSPOT</t>
        </is>
      </c>
      <c r="E215" s="7" t="n">
        <v>33</v>
      </c>
      <c r="F215" s="8" t="n">
        <v>20</v>
      </c>
      <c r="G215" s="8" t="n">
        <v>2</v>
      </c>
      <c r="H215" s="5" t="n">
        <v>2010</v>
      </c>
      <c r="I215" s="5" t="n">
        <v>7</v>
      </c>
    </row>
    <row r="216">
      <c r="A216" s="5" t="inlineStr">
        <is>
          <t>2010-07</t>
        </is>
      </c>
      <c r="B216" s="5" t="inlineStr">
        <is>
          <t>Ireland (EIRE)</t>
        </is>
      </c>
      <c r="C216" s="5" t="inlineStr">
        <is>
          <t>22197</t>
        </is>
      </c>
      <c r="D216" s="5" t="inlineStr">
        <is>
          <t>SMALL POPCORN HOLDER</t>
        </is>
      </c>
      <c r="E216" s="7" t="n">
        <v>51</v>
      </c>
      <c r="F216" s="8" t="n">
        <v>60</v>
      </c>
      <c r="G216" s="8" t="n">
        <v>2</v>
      </c>
      <c r="H216" s="5" t="n">
        <v>2010</v>
      </c>
      <c r="I216" s="5" t="n">
        <v>7</v>
      </c>
    </row>
    <row r="217">
      <c r="A217" s="5" t="inlineStr">
        <is>
          <t>2010-07</t>
        </is>
      </c>
      <c r="B217" s="5" t="inlineStr">
        <is>
          <t>Ireland (EIRE)</t>
        </is>
      </c>
      <c r="C217" s="5" t="inlineStr">
        <is>
          <t>22423</t>
        </is>
      </c>
      <c r="D217" s="5" t="inlineStr">
        <is>
          <t>REGENCY CAKESTAND 3 TIER</t>
        </is>
      </c>
      <c r="E217" s="7" t="n">
        <v>978</v>
      </c>
      <c r="F217" s="8" t="n">
        <v>88</v>
      </c>
      <c r="G217" s="8" t="n">
        <v>7</v>
      </c>
      <c r="H217" s="5" t="n">
        <v>2010</v>
      </c>
      <c r="I217" s="5" t="n">
        <v>7</v>
      </c>
    </row>
    <row r="218">
      <c r="A218" s="5" t="inlineStr">
        <is>
          <t>2010-07</t>
        </is>
      </c>
      <c r="B218" s="5" t="inlineStr">
        <is>
          <t>Ireland (EIRE)</t>
        </is>
      </c>
      <c r="C218" s="5" t="inlineStr">
        <is>
          <t>79321</t>
        </is>
      </c>
      <c r="D218" s="5" t="inlineStr">
        <is>
          <t>CHILLI LIGHTS</t>
        </is>
      </c>
      <c r="E218" s="7" t="n">
        <v>19.8</v>
      </c>
      <c r="F218" s="8" t="n">
        <v>4</v>
      </c>
      <c r="G218" s="8" t="n">
        <v>1</v>
      </c>
      <c r="H218" s="5" t="n">
        <v>2010</v>
      </c>
      <c r="I218" s="5" t="n">
        <v>7</v>
      </c>
    </row>
    <row r="219">
      <c r="A219" s="5" t="inlineStr">
        <is>
          <t>2010-07</t>
        </is>
      </c>
      <c r="B219" s="5" t="inlineStr">
        <is>
          <t>Ireland (EIRE)</t>
        </is>
      </c>
      <c r="C219" s="5" t="inlineStr">
        <is>
          <t>84879</t>
        </is>
      </c>
      <c r="D219" s="5" t="inlineStr">
        <is>
          <t>ASSORTED COLOUR BIRD ORNAMENT</t>
        </is>
      </c>
      <c r="E219" s="7" t="n">
        <v>27.04</v>
      </c>
      <c r="F219" s="8" t="n">
        <v>16</v>
      </c>
      <c r="G219" s="8" t="n">
        <v>1</v>
      </c>
      <c r="H219" s="5" t="n">
        <v>2010</v>
      </c>
      <c r="I219" s="5" t="n">
        <v>7</v>
      </c>
    </row>
    <row r="220">
      <c r="A220" s="5" t="inlineStr">
        <is>
          <t>2010-07</t>
        </is>
      </c>
      <c r="B220" s="5" t="inlineStr">
        <is>
          <t>Ireland (EIRE)</t>
        </is>
      </c>
      <c r="C220" s="5" t="inlineStr">
        <is>
          <t>85099B</t>
        </is>
      </c>
      <c r="D220" s="5" t="inlineStr">
        <is>
          <t>JUMBO BAG RED RETROSPOT</t>
        </is>
      </c>
      <c r="E220" s="7" t="n">
        <v>19.5</v>
      </c>
      <c r="F220" s="8" t="n">
        <v>10</v>
      </c>
      <c r="G220" s="8" t="n">
        <v>1</v>
      </c>
      <c r="H220" s="5" t="n">
        <v>2010</v>
      </c>
      <c r="I220" s="5" t="n">
        <v>7</v>
      </c>
    </row>
    <row r="221">
      <c r="A221" s="5" t="inlineStr">
        <is>
          <t>2010-07</t>
        </is>
      </c>
      <c r="B221" s="5" t="inlineStr">
        <is>
          <t>Ireland (EIRE)</t>
        </is>
      </c>
      <c r="C221" s="5" t="inlineStr">
        <is>
          <t>85123A</t>
        </is>
      </c>
      <c r="D221" s="5" t="inlineStr">
        <is>
          <t>WHITE HANGING HEART T-LIGHT HOLDER</t>
        </is>
      </c>
      <c r="E221" s="7" t="n">
        <v>53.1</v>
      </c>
      <c r="F221" s="8" t="n">
        <v>18</v>
      </c>
      <c r="G221" s="8" t="n">
        <v>2</v>
      </c>
      <c r="H221" s="5" t="n">
        <v>2010</v>
      </c>
      <c r="I221" s="5" t="n">
        <v>7</v>
      </c>
    </row>
    <row r="222">
      <c r="A222" s="5" t="inlineStr">
        <is>
          <t>2010-07</t>
        </is>
      </c>
      <c r="B222" s="5" t="inlineStr">
        <is>
          <t>Ireland (EIRE)</t>
        </is>
      </c>
      <c r="C222" s="5" t="inlineStr">
        <is>
          <t>ALL OTHER PRODUCTS</t>
        </is>
      </c>
      <c r="D222" s="5" t="inlineStr">
        <is>
          <t>All other products</t>
        </is>
      </c>
      <c r="E222" s="7" t="n">
        <v>33414.53</v>
      </c>
      <c r="F222" s="8" t="n">
        <v>15188</v>
      </c>
      <c r="G222" s="8" t="n">
        <v>27</v>
      </c>
      <c r="H222" s="5" t="n">
        <v>2010</v>
      </c>
      <c r="I222" s="5" t="n">
        <v>7</v>
      </c>
    </row>
    <row r="223">
      <c r="A223" s="5" t="inlineStr">
        <is>
          <t>2010-07</t>
        </is>
      </c>
      <c r="B223" s="5" t="inlineStr">
        <is>
          <t>Rest of Europe</t>
        </is>
      </c>
      <c r="C223" s="5" t="inlineStr">
        <is>
          <t>20725</t>
        </is>
      </c>
      <c r="D223" s="5" t="inlineStr">
        <is>
          <t>LUNCH BAG RED RETROSPOT</t>
        </is>
      </c>
      <c r="E223" s="7" t="n">
        <v>169.95</v>
      </c>
      <c r="F223" s="8" t="n">
        <v>103</v>
      </c>
      <c r="G223" s="8" t="n">
        <v>10</v>
      </c>
      <c r="H223" s="5" t="n">
        <v>2010</v>
      </c>
      <c r="I223" s="5" t="n">
        <v>7</v>
      </c>
    </row>
    <row r="224">
      <c r="A224" s="5" t="inlineStr">
        <is>
          <t>2010-07</t>
        </is>
      </c>
      <c r="B224" s="5" t="inlineStr">
        <is>
          <t>Rest of Europe</t>
        </is>
      </c>
      <c r="C224" s="5" t="inlineStr">
        <is>
          <t>22086</t>
        </is>
      </c>
      <c r="D224" s="5" t="inlineStr">
        <is>
          <t>PAPER CHAIN KIT 50'S CHRISTMAS</t>
        </is>
      </c>
      <c r="E224" s="7" t="n">
        <v>119.7</v>
      </c>
      <c r="F224" s="8" t="n">
        <v>46</v>
      </c>
      <c r="G224" s="8" t="n">
        <v>2</v>
      </c>
      <c r="H224" s="5" t="n">
        <v>2010</v>
      </c>
      <c r="I224" s="5" t="n">
        <v>7</v>
      </c>
    </row>
    <row r="225">
      <c r="A225" s="5" t="inlineStr">
        <is>
          <t>2010-07</t>
        </is>
      </c>
      <c r="B225" s="5" t="inlineStr">
        <is>
          <t>Rest of Europe</t>
        </is>
      </c>
      <c r="C225" s="5" t="inlineStr">
        <is>
          <t>22197</t>
        </is>
      </c>
      <c r="D225" s="5" t="inlineStr">
        <is>
          <t>SMALL POPCORN HOLDER</t>
        </is>
      </c>
      <c r="E225" s="7" t="n">
        <v>23.8</v>
      </c>
      <c r="F225" s="8" t="n">
        <v>28</v>
      </c>
      <c r="G225" s="8" t="n">
        <v>3</v>
      </c>
      <c r="H225" s="5" t="n">
        <v>2010</v>
      </c>
      <c r="I225" s="5" t="n">
        <v>7</v>
      </c>
    </row>
    <row r="226">
      <c r="A226" s="5" t="inlineStr">
        <is>
          <t>2010-07</t>
        </is>
      </c>
      <c r="B226" s="5" t="inlineStr">
        <is>
          <t>Rest of Europe</t>
        </is>
      </c>
      <c r="C226" s="5" t="inlineStr">
        <is>
          <t>22386</t>
        </is>
      </c>
      <c r="D226" s="5" t="inlineStr">
        <is>
          <t>JUMBO BAG PINK POLKADOT</t>
        </is>
      </c>
      <c r="E226" s="7" t="n">
        <v>19.5</v>
      </c>
      <c r="F226" s="8" t="n">
        <v>10</v>
      </c>
      <c r="G226" s="8" t="n">
        <v>1</v>
      </c>
      <c r="H226" s="5" t="n">
        <v>2010</v>
      </c>
      <c r="I226" s="5" t="n">
        <v>7</v>
      </c>
    </row>
    <row r="227">
      <c r="A227" s="5" t="inlineStr">
        <is>
          <t>2010-07</t>
        </is>
      </c>
      <c r="B227" s="5" t="inlineStr">
        <is>
          <t>Rest of Europe</t>
        </is>
      </c>
      <c r="C227" s="5" t="inlineStr">
        <is>
          <t>22423</t>
        </is>
      </c>
      <c r="D227" s="5" t="inlineStr">
        <is>
          <t>REGENCY CAKESTAND 3 TIER</t>
        </is>
      </c>
      <c r="E227" s="7" t="n">
        <v>114.75</v>
      </c>
      <c r="F227" s="8" t="n">
        <v>9</v>
      </c>
      <c r="G227" s="8" t="n">
        <v>4</v>
      </c>
      <c r="H227" s="5" t="n">
        <v>2010</v>
      </c>
      <c r="I227" s="5" t="n">
        <v>7</v>
      </c>
    </row>
    <row r="228">
      <c r="A228" s="5" t="inlineStr">
        <is>
          <t>2010-07</t>
        </is>
      </c>
      <c r="B228" s="5" t="inlineStr">
        <is>
          <t>Rest of Europe</t>
        </is>
      </c>
      <c r="C228" s="5" t="inlineStr">
        <is>
          <t>84347</t>
        </is>
      </c>
      <c r="D228" s="5" t="inlineStr">
        <is>
          <t>ROTATING SILVER ANGELS T-LIGHT HLDR</t>
        </is>
      </c>
      <c r="E228" s="7" t="n">
        <v>61.2</v>
      </c>
      <c r="F228" s="8" t="n">
        <v>24</v>
      </c>
      <c r="G228" s="8" t="n">
        <v>2</v>
      </c>
      <c r="H228" s="5" t="n">
        <v>2010</v>
      </c>
      <c r="I228" s="5" t="n">
        <v>7</v>
      </c>
    </row>
    <row r="229">
      <c r="A229" s="5" t="inlineStr">
        <is>
          <t>2010-07</t>
        </is>
      </c>
      <c r="B229" s="5" t="inlineStr">
        <is>
          <t>Rest of Europe</t>
        </is>
      </c>
      <c r="C229" s="5" t="inlineStr">
        <is>
          <t>84879</t>
        </is>
      </c>
      <c r="D229" s="5" t="inlineStr">
        <is>
          <t>ASSORTED COLOUR BIRD ORNAMENT</t>
        </is>
      </c>
      <c r="E229" s="7" t="n">
        <v>232</v>
      </c>
      <c r="F229" s="8" t="n">
        <v>160</v>
      </c>
      <c r="G229" s="8" t="n">
        <v>1</v>
      </c>
      <c r="H229" s="5" t="n">
        <v>2010</v>
      </c>
      <c r="I229" s="5" t="n">
        <v>7</v>
      </c>
    </row>
    <row r="230">
      <c r="A230" s="5" t="inlineStr">
        <is>
          <t>2010-07</t>
        </is>
      </c>
      <c r="B230" s="5" t="inlineStr">
        <is>
          <t>Rest of Europe</t>
        </is>
      </c>
      <c r="C230" s="5" t="inlineStr">
        <is>
          <t>85099B</t>
        </is>
      </c>
      <c r="D230" s="5" t="inlineStr">
        <is>
          <t>JUMBO BAG RED RETROSPOT</t>
        </is>
      </c>
      <c r="E230" s="7" t="n">
        <v>214.5</v>
      </c>
      <c r="F230" s="8" t="n">
        <v>110</v>
      </c>
      <c r="G230" s="8" t="n">
        <v>9</v>
      </c>
      <c r="H230" s="5" t="n">
        <v>2010</v>
      </c>
      <c r="I230" s="5" t="n">
        <v>7</v>
      </c>
    </row>
    <row r="231">
      <c r="A231" s="5" t="inlineStr">
        <is>
          <t>2010-07</t>
        </is>
      </c>
      <c r="B231" s="5" t="inlineStr">
        <is>
          <t>Rest of Europe</t>
        </is>
      </c>
      <c r="C231" s="5" t="inlineStr">
        <is>
          <t>85123A</t>
        </is>
      </c>
      <c r="D231" s="5" t="inlineStr">
        <is>
          <t>WHITE HANGING HEART T-LIGHT HOLDER</t>
        </is>
      </c>
      <c r="E231" s="7" t="n">
        <v>53.1</v>
      </c>
      <c r="F231" s="8" t="n">
        <v>18</v>
      </c>
      <c r="G231" s="8" t="n">
        <v>3</v>
      </c>
      <c r="H231" s="5" t="n">
        <v>2010</v>
      </c>
      <c r="I231" s="5" t="n">
        <v>7</v>
      </c>
    </row>
    <row r="232">
      <c r="A232" s="5" t="inlineStr">
        <is>
          <t>2010-07</t>
        </is>
      </c>
      <c r="B232" s="5" t="inlineStr">
        <is>
          <t>Rest of Europe</t>
        </is>
      </c>
      <c r="C232" s="5" t="inlineStr">
        <is>
          <t>ALL OTHER PRODUCTS</t>
        </is>
      </c>
      <c r="D232" s="5" t="inlineStr">
        <is>
          <t>All other products</t>
        </is>
      </c>
      <c r="E232" s="7" t="n">
        <v>39250.33</v>
      </c>
      <c r="F232" s="8" t="n">
        <v>26913</v>
      </c>
      <c r="G232" s="8" t="n">
        <v>68</v>
      </c>
      <c r="H232" s="5" t="n">
        <v>2010</v>
      </c>
      <c r="I232" s="5" t="n">
        <v>7</v>
      </c>
    </row>
    <row r="233">
      <c r="A233" s="5" t="inlineStr">
        <is>
          <t>2010-07</t>
        </is>
      </c>
      <c r="B233" s="5" t="inlineStr">
        <is>
          <t>Rest of World</t>
        </is>
      </c>
      <c r="C233" s="5" t="inlineStr">
        <is>
          <t>22423</t>
        </is>
      </c>
      <c r="D233" s="5" t="inlineStr">
        <is>
          <t>REGENCY CAKESTAND 3 TIER</t>
        </is>
      </c>
      <c r="E233" s="7" t="n">
        <v>251.7</v>
      </c>
      <c r="F233" s="8" t="n">
        <v>22</v>
      </c>
      <c r="G233" s="8" t="n">
        <v>3</v>
      </c>
      <c r="H233" s="5" t="n">
        <v>2010</v>
      </c>
      <c r="I233" s="5" t="n">
        <v>7</v>
      </c>
    </row>
    <row r="234">
      <c r="A234" s="5" t="inlineStr">
        <is>
          <t>2010-07</t>
        </is>
      </c>
      <c r="B234" s="5" t="inlineStr">
        <is>
          <t>Rest of World</t>
        </is>
      </c>
      <c r="C234" s="5" t="inlineStr">
        <is>
          <t>ALL OTHER PRODUCTS</t>
        </is>
      </c>
      <c r="D234" s="5" t="inlineStr">
        <is>
          <t>All other products</t>
        </is>
      </c>
      <c r="E234" s="7" t="n">
        <v>7584.53</v>
      </c>
      <c r="F234" s="8" t="n">
        <v>3622</v>
      </c>
      <c r="G234" s="8" t="n">
        <v>10</v>
      </c>
      <c r="H234" s="5" t="n">
        <v>2010</v>
      </c>
      <c r="I234" s="5" t="n">
        <v>7</v>
      </c>
    </row>
    <row r="235">
      <c r="A235" s="5" t="inlineStr">
        <is>
          <t>2010-07</t>
        </is>
      </c>
      <c r="B235" s="5" t="inlineStr">
        <is>
          <t>United Kingdom</t>
        </is>
      </c>
      <c r="C235" s="5" t="inlineStr">
        <is>
          <t>20725</t>
        </is>
      </c>
      <c r="D235" s="5" t="inlineStr">
        <is>
          <t>LUNCH BAG RED RETROSPOT</t>
        </is>
      </c>
      <c r="E235" s="7" t="n">
        <v>2768.89</v>
      </c>
      <c r="F235" s="8" t="n">
        <v>1725</v>
      </c>
      <c r="G235" s="8" t="n">
        <v>126</v>
      </c>
      <c r="H235" s="5" t="n">
        <v>2010</v>
      </c>
      <c r="I235" s="5" t="n">
        <v>7</v>
      </c>
    </row>
    <row r="236">
      <c r="A236" s="5" t="inlineStr">
        <is>
          <t>2010-07</t>
        </is>
      </c>
      <c r="B236" s="5" t="inlineStr">
        <is>
          <t>United Kingdom</t>
        </is>
      </c>
      <c r="C236" s="5" t="inlineStr">
        <is>
          <t>22086</t>
        </is>
      </c>
      <c r="D236" s="5" t="inlineStr">
        <is>
          <t>PAPER CHAIN KIT 50'S CHRISTMAS</t>
        </is>
      </c>
      <c r="E236" s="7" t="n">
        <v>416.43</v>
      </c>
      <c r="F236" s="8" t="n">
        <v>149</v>
      </c>
      <c r="G236" s="8" t="n">
        <v>11</v>
      </c>
      <c r="H236" s="5" t="n">
        <v>2010</v>
      </c>
      <c r="I236" s="5" t="n">
        <v>7</v>
      </c>
    </row>
    <row r="237">
      <c r="A237" s="5" t="inlineStr">
        <is>
          <t>2010-07</t>
        </is>
      </c>
      <c r="B237" s="5" t="inlineStr">
        <is>
          <t>United Kingdom</t>
        </is>
      </c>
      <c r="C237" s="5" t="inlineStr">
        <is>
          <t>22197</t>
        </is>
      </c>
      <c r="D237" s="5" t="inlineStr">
        <is>
          <t>SMALL POPCORN HOLDER</t>
        </is>
      </c>
      <c r="E237" s="7" t="n">
        <v>1598.01</v>
      </c>
      <c r="F237" s="8" t="n">
        <v>2052</v>
      </c>
      <c r="G237" s="8" t="n">
        <v>55</v>
      </c>
      <c r="H237" s="5" t="n">
        <v>2010</v>
      </c>
      <c r="I237" s="5" t="n">
        <v>7</v>
      </c>
    </row>
    <row r="238">
      <c r="A238" s="5" t="inlineStr">
        <is>
          <t>2010-07</t>
        </is>
      </c>
      <c r="B238" s="5" t="inlineStr">
        <is>
          <t>United Kingdom</t>
        </is>
      </c>
      <c r="C238" s="5" t="inlineStr">
        <is>
          <t>22386</t>
        </is>
      </c>
      <c r="D238" s="5" t="inlineStr">
        <is>
          <t>JUMBO BAG PINK POLKADOT</t>
        </is>
      </c>
      <c r="E238" s="7" t="n">
        <v>2785.2</v>
      </c>
      <c r="F238" s="8" t="n">
        <v>1534</v>
      </c>
      <c r="G238" s="8" t="n">
        <v>92</v>
      </c>
      <c r="H238" s="5" t="n">
        <v>2010</v>
      </c>
      <c r="I238" s="5" t="n">
        <v>7</v>
      </c>
    </row>
    <row r="239">
      <c r="A239" s="5" t="inlineStr">
        <is>
          <t>2010-07</t>
        </is>
      </c>
      <c r="B239" s="5" t="inlineStr">
        <is>
          <t>United Kingdom</t>
        </is>
      </c>
      <c r="C239" s="5" t="inlineStr">
        <is>
          <t>22423</t>
        </is>
      </c>
      <c r="D239" s="5" t="inlineStr">
        <is>
          <t>REGENCY CAKESTAND 3 TIER</t>
        </is>
      </c>
      <c r="E239" s="7" t="n">
        <v>17521.43</v>
      </c>
      <c r="F239" s="8" t="n">
        <v>1425</v>
      </c>
      <c r="G239" s="8" t="n">
        <v>215</v>
      </c>
      <c r="H239" s="5" t="n">
        <v>2010</v>
      </c>
      <c r="I239" s="5" t="n">
        <v>7</v>
      </c>
    </row>
    <row r="240">
      <c r="A240" s="5" t="inlineStr">
        <is>
          <t>2010-07</t>
        </is>
      </c>
      <c r="B240" s="5" t="inlineStr">
        <is>
          <t>United Kingdom</t>
        </is>
      </c>
      <c r="C240" s="5" t="inlineStr">
        <is>
          <t>47566</t>
        </is>
      </c>
      <c r="D240" s="5" t="inlineStr">
        <is>
          <t>PARTY BUNTING</t>
        </is>
      </c>
      <c r="E240" s="7" t="n">
        <v>1187.11</v>
      </c>
      <c r="F240" s="8" t="n">
        <v>183</v>
      </c>
      <c r="G240" s="8" t="n">
        <v>28</v>
      </c>
      <c r="H240" s="5" t="n">
        <v>2010</v>
      </c>
      <c r="I240" s="5" t="n">
        <v>7</v>
      </c>
    </row>
    <row r="241">
      <c r="A241" s="5" t="inlineStr">
        <is>
          <t>2010-07</t>
        </is>
      </c>
      <c r="B241" s="5" t="inlineStr">
        <is>
          <t>United Kingdom</t>
        </is>
      </c>
      <c r="C241" s="5" t="inlineStr">
        <is>
          <t>79321</t>
        </is>
      </c>
      <c r="D241" s="5" t="inlineStr">
        <is>
          <t>CHILLI LIGHTS</t>
        </is>
      </c>
      <c r="E241" s="7" t="n">
        <v>560.0700000000001</v>
      </c>
      <c r="F241" s="8" t="n">
        <v>117</v>
      </c>
      <c r="G241" s="8" t="n">
        <v>20</v>
      </c>
      <c r="H241" s="5" t="n">
        <v>2010</v>
      </c>
      <c r="I241" s="5" t="n">
        <v>7</v>
      </c>
    </row>
    <row r="242">
      <c r="A242" s="5" t="inlineStr">
        <is>
          <t>2010-07</t>
        </is>
      </c>
      <c r="B242" s="5" t="inlineStr">
        <is>
          <t>United Kingdom</t>
        </is>
      </c>
      <c r="C242" s="5" t="inlineStr">
        <is>
          <t>84347</t>
        </is>
      </c>
      <c r="D242" s="5" t="inlineStr">
        <is>
          <t>ROTATING SILVER ANGELS T-LIGHT HLDR</t>
        </is>
      </c>
      <c r="E242" s="7" t="n">
        <v>193</v>
      </c>
      <c r="F242" s="8" t="n">
        <v>56</v>
      </c>
      <c r="G242" s="8" t="n">
        <v>12</v>
      </c>
      <c r="H242" s="5" t="n">
        <v>2010</v>
      </c>
      <c r="I242" s="5" t="n">
        <v>7</v>
      </c>
    </row>
    <row r="243">
      <c r="A243" s="5" t="inlineStr">
        <is>
          <t>2010-07</t>
        </is>
      </c>
      <c r="B243" s="5" t="inlineStr">
        <is>
          <t>United Kingdom</t>
        </is>
      </c>
      <c r="C243" s="5" t="inlineStr">
        <is>
          <t>84879</t>
        </is>
      </c>
      <c r="D243" s="5" t="inlineStr">
        <is>
          <t>ASSORTED COLOUR BIRD ORNAMENT</t>
        </is>
      </c>
      <c r="E243" s="7" t="n">
        <v>4773.01</v>
      </c>
      <c r="F243" s="8" t="n">
        <v>2941</v>
      </c>
      <c r="G243" s="8" t="n">
        <v>104</v>
      </c>
      <c r="H243" s="5" t="n">
        <v>2010</v>
      </c>
      <c r="I243" s="5" t="n">
        <v>7</v>
      </c>
    </row>
    <row r="244">
      <c r="A244" s="5" t="inlineStr">
        <is>
          <t>2010-07</t>
        </is>
      </c>
      <c r="B244" s="5" t="inlineStr">
        <is>
          <t>United Kingdom</t>
        </is>
      </c>
      <c r="C244" s="5" t="inlineStr">
        <is>
          <t>85099B</t>
        </is>
      </c>
      <c r="D244" s="5" t="inlineStr">
        <is>
          <t>JUMBO BAG RED RETROSPOT</t>
        </is>
      </c>
      <c r="E244" s="7" t="n">
        <v>6291.41</v>
      </c>
      <c r="F244" s="8" t="n">
        <v>3471</v>
      </c>
      <c r="G244" s="8" t="n">
        <v>141</v>
      </c>
      <c r="H244" s="5" t="n">
        <v>2010</v>
      </c>
      <c r="I244" s="5" t="n">
        <v>7</v>
      </c>
    </row>
    <row r="245">
      <c r="A245" s="5" t="inlineStr">
        <is>
          <t>2010-07</t>
        </is>
      </c>
      <c r="B245" s="5" t="inlineStr">
        <is>
          <t>United Kingdom</t>
        </is>
      </c>
      <c r="C245" s="5" t="inlineStr">
        <is>
          <t>85123A</t>
        </is>
      </c>
      <c r="D245" s="5" t="inlineStr">
        <is>
          <t>WHITE HANGING HEART T-LIGHT HOLDER</t>
        </is>
      </c>
      <c r="E245" s="7" t="n">
        <v>10587.64</v>
      </c>
      <c r="F245" s="8" t="n">
        <v>3988</v>
      </c>
      <c r="G245" s="8" t="n">
        <v>225</v>
      </c>
      <c r="H245" s="5" t="n">
        <v>2010</v>
      </c>
      <c r="I245" s="5" t="n">
        <v>7</v>
      </c>
    </row>
    <row r="246">
      <c r="A246" s="5" t="inlineStr">
        <is>
          <t>2010-07</t>
        </is>
      </c>
      <c r="B246" s="5" t="inlineStr">
        <is>
          <t>United Kingdom</t>
        </is>
      </c>
      <c r="C246" s="5" t="inlineStr">
        <is>
          <t>ALL OTHER PRODUCTS</t>
        </is>
      </c>
      <c r="D246" s="5" t="inlineStr">
        <is>
          <t>All other products</t>
        </is>
      </c>
      <c r="E246" s="7" t="n">
        <v>501621.09</v>
      </c>
      <c r="F246" s="8" t="n">
        <v>273446</v>
      </c>
      <c r="G246" s="8" t="n">
        <v>1388</v>
      </c>
      <c r="H246" s="5" t="n">
        <v>2010</v>
      </c>
      <c r="I246" s="5" t="n">
        <v>7</v>
      </c>
    </row>
    <row r="247">
      <c r="A247" s="5" t="inlineStr">
        <is>
          <t>2010-08</t>
        </is>
      </c>
      <c r="B247" s="5" t="inlineStr">
        <is>
          <t>Ireland (EIRE)</t>
        </is>
      </c>
      <c r="C247" s="5" t="inlineStr">
        <is>
          <t>20725</t>
        </is>
      </c>
      <c r="D247" s="5" t="inlineStr">
        <is>
          <t>LUNCH BAG RED RETROSPOT</t>
        </is>
      </c>
      <c r="E247" s="7" t="n">
        <v>234</v>
      </c>
      <c r="F247" s="8" t="n">
        <v>160</v>
      </c>
      <c r="G247" s="8" t="n">
        <v>2</v>
      </c>
      <c r="H247" s="5" t="n">
        <v>2010</v>
      </c>
      <c r="I247" s="5" t="n">
        <v>8</v>
      </c>
    </row>
    <row r="248">
      <c r="A248" s="5" t="inlineStr">
        <is>
          <t>2010-08</t>
        </is>
      </c>
      <c r="B248" s="5" t="inlineStr">
        <is>
          <t>Ireland (EIRE)</t>
        </is>
      </c>
      <c r="C248" s="5" t="inlineStr">
        <is>
          <t>22086</t>
        </is>
      </c>
      <c r="D248" s="5" t="inlineStr">
        <is>
          <t>PAPER CHAIN KIT 50'S CHRISTMAS</t>
        </is>
      </c>
      <c r="E248" s="7" t="n">
        <v>17.7</v>
      </c>
      <c r="F248" s="8" t="n">
        <v>6</v>
      </c>
      <c r="G248" s="8" t="n">
        <v>1</v>
      </c>
      <c r="H248" s="5" t="n">
        <v>2010</v>
      </c>
      <c r="I248" s="5" t="n">
        <v>8</v>
      </c>
    </row>
    <row r="249">
      <c r="A249" s="5" t="inlineStr">
        <is>
          <t>2010-08</t>
        </is>
      </c>
      <c r="B249" s="5" t="inlineStr">
        <is>
          <t>Ireland (EIRE)</t>
        </is>
      </c>
      <c r="C249" s="5" t="inlineStr">
        <is>
          <t>22197</t>
        </is>
      </c>
      <c r="D249" s="5" t="inlineStr">
        <is>
          <t>SMALL POPCORN HOLDER</t>
        </is>
      </c>
      <c r="E249" s="7" t="n">
        <v>442.2</v>
      </c>
      <c r="F249" s="8" t="n">
        <v>612</v>
      </c>
      <c r="G249" s="8" t="n">
        <v>2</v>
      </c>
      <c r="H249" s="5" t="n">
        <v>2010</v>
      </c>
      <c r="I249" s="5" t="n">
        <v>8</v>
      </c>
    </row>
    <row r="250">
      <c r="A250" s="5" t="inlineStr">
        <is>
          <t>2010-08</t>
        </is>
      </c>
      <c r="B250" s="5" t="inlineStr">
        <is>
          <t>Ireland (EIRE)</t>
        </is>
      </c>
      <c r="C250" s="5" t="inlineStr">
        <is>
          <t>22423</t>
        </is>
      </c>
      <c r="D250" s="5" t="inlineStr">
        <is>
          <t>REGENCY CAKESTAND 3 TIER</t>
        </is>
      </c>
      <c r="E250" s="7" t="n">
        <v>328.2</v>
      </c>
      <c r="F250" s="8" t="n">
        <v>28</v>
      </c>
      <c r="G250" s="8" t="n">
        <v>5</v>
      </c>
      <c r="H250" s="5" t="n">
        <v>2010</v>
      </c>
      <c r="I250" s="5" t="n">
        <v>8</v>
      </c>
    </row>
    <row r="251">
      <c r="A251" s="5" t="inlineStr">
        <is>
          <t>2010-08</t>
        </is>
      </c>
      <c r="B251" s="5" t="inlineStr">
        <is>
          <t>Ireland (EIRE)</t>
        </is>
      </c>
      <c r="C251" s="5" t="inlineStr">
        <is>
          <t>85123A</t>
        </is>
      </c>
      <c r="D251" s="5" t="inlineStr">
        <is>
          <t>WHITE HANGING HEART T-LIGHT HOLDER</t>
        </is>
      </c>
      <c r="E251" s="7" t="n">
        <v>70.8</v>
      </c>
      <c r="F251" s="8" t="n">
        <v>24</v>
      </c>
      <c r="G251" s="8" t="n">
        <v>2</v>
      </c>
      <c r="H251" s="5" t="n">
        <v>2010</v>
      </c>
      <c r="I251" s="5" t="n">
        <v>8</v>
      </c>
    </row>
    <row r="252">
      <c r="A252" s="5" t="inlineStr">
        <is>
          <t>2010-08</t>
        </is>
      </c>
      <c r="B252" s="5" t="inlineStr">
        <is>
          <t>Ireland (EIRE)</t>
        </is>
      </c>
      <c r="C252" s="5" t="inlineStr">
        <is>
          <t>ALL OTHER PRODUCTS</t>
        </is>
      </c>
      <c r="D252" s="5" t="inlineStr">
        <is>
          <t>All other products</t>
        </is>
      </c>
      <c r="E252" s="7" t="n">
        <v>24312.81</v>
      </c>
      <c r="F252" s="8" t="n">
        <v>14966</v>
      </c>
      <c r="G252" s="8" t="n">
        <v>27</v>
      </c>
      <c r="H252" s="5" t="n">
        <v>2010</v>
      </c>
      <c r="I252" s="5" t="n">
        <v>8</v>
      </c>
    </row>
    <row r="253">
      <c r="A253" s="5" t="inlineStr">
        <is>
          <t>2010-08</t>
        </is>
      </c>
      <c r="B253" s="5" t="inlineStr">
        <is>
          <t>Rest of Europe</t>
        </is>
      </c>
      <c r="C253" s="5" t="inlineStr">
        <is>
          <t>20725</t>
        </is>
      </c>
      <c r="D253" s="5" t="inlineStr">
        <is>
          <t>LUNCH BAG RED RETROSPOT</t>
        </is>
      </c>
      <c r="E253" s="7" t="n">
        <v>330</v>
      </c>
      <c r="F253" s="8" t="n">
        <v>200</v>
      </c>
      <c r="G253" s="8" t="n">
        <v>9</v>
      </c>
      <c r="H253" s="5" t="n">
        <v>2010</v>
      </c>
      <c r="I253" s="5" t="n">
        <v>8</v>
      </c>
    </row>
    <row r="254">
      <c r="A254" s="5" t="inlineStr">
        <is>
          <t>2010-08</t>
        </is>
      </c>
      <c r="B254" s="5" t="inlineStr">
        <is>
          <t>Rest of Europe</t>
        </is>
      </c>
      <c r="C254" s="5" t="inlineStr">
        <is>
          <t>22197</t>
        </is>
      </c>
      <c r="D254" s="5" t="inlineStr">
        <is>
          <t>SMALL POPCORN HOLDER</t>
        </is>
      </c>
      <c r="E254" s="7" t="n">
        <v>30.6</v>
      </c>
      <c r="F254" s="8" t="n">
        <v>36</v>
      </c>
      <c r="G254" s="8" t="n">
        <v>3</v>
      </c>
      <c r="H254" s="5" t="n">
        <v>2010</v>
      </c>
      <c r="I254" s="5" t="n">
        <v>8</v>
      </c>
    </row>
    <row r="255">
      <c r="A255" s="5" t="inlineStr">
        <is>
          <t>2010-08</t>
        </is>
      </c>
      <c r="B255" s="5" t="inlineStr">
        <is>
          <t>Rest of Europe</t>
        </is>
      </c>
      <c r="C255" s="5" t="inlineStr">
        <is>
          <t>22386</t>
        </is>
      </c>
      <c r="D255" s="5" t="inlineStr">
        <is>
          <t>JUMBO BAG PINK POLKADOT</t>
        </is>
      </c>
      <c r="E255" s="7" t="n">
        <v>514.5</v>
      </c>
      <c r="F255" s="8" t="n">
        <v>310</v>
      </c>
      <c r="G255" s="8" t="n">
        <v>3</v>
      </c>
      <c r="H255" s="5" t="n">
        <v>2010</v>
      </c>
      <c r="I255" s="5" t="n">
        <v>8</v>
      </c>
    </row>
    <row r="256">
      <c r="A256" s="5" t="inlineStr">
        <is>
          <t>2010-08</t>
        </is>
      </c>
      <c r="B256" s="5" t="inlineStr">
        <is>
          <t>Rest of Europe</t>
        </is>
      </c>
      <c r="C256" s="5" t="inlineStr">
        <is>
          <t>22423</t>
        </is>
      </c>
      <c r="D256" s="5" t="inlineStr">
        <is>
          <t>REGENCY CAKESTAND 3 TIER</t>
        </is>
      </c>
      <c r="E256" s="7" t="n">
        <v>1280.7</v>
      </c>
      <c r="F256" s="8" t="n">
        <v>114</v>
      </c>
      <c r="G256" s="8" t="n">
        <v>9</v>
      </c>
      <c r="H256" s="5" t="n">
        <v>2010</v>
      </c>
      <c r="I256" s="5" t="n">
        <v>8</v>
      </c>
    </row>
    <row r="257">
      <c r="A257" s="5" t="inlineStr">
        <is>
          <t>2010-08</t>
        </is>
      </c>
      <c r="B257" s="5" t="inlineStr">
        <is>
          <t>Rest of Europe</t>
        </is>
      </c>
      <c r="C257" s="5" t="inlineStr">
        <is>
          <t>84879</t>
        </is>
      </c>
      <c r="D257" s="5" t="inlineStr">
        <is>
          <t>ASSORTED COLOUR BIRD ORNAMENT</t>
        </is>
      </c>
      <c r="E257" s="7" t="n">
        <v>135.2</v>
      </c>
      <c r="F257" s="8" t="n">
        <v>80</v>
      </c>
      <c r="G257" s="8" t="n">
        <v>4</v>
      </c>
      <c r="H257" s="5" t="n">
        <v>2010</v>
      </c>
      <c r="I257" s="5" t="n">
        <v>8</v>
      </c>
    </row>
    <row r="258">
      <c r="A258" s="5" t="inlineStr">
        <is>
          <t>2010-08</t>
        </is>
      </c>
      <c r="B258" s="5" t="inlineStr">
        <is>
          <t>Rest of Europe</t>
        </is>
      </c>
      <c r="C258" s="5" t="inlineStr">
        <is>
          <t>85099B</t>
        </is>
      </c>
      <c r="D258" s="5" t="inlineStr">
        <is>
          <t>JUMBO BAG RED RETROSPOT</t>
        </is>
      </c>
      <c r="E258" s="7" t="n">
        <v>117</v>
      </c>
      <c r="F258" s="8" t="n">
        <v>60</v>
      </c>
      <c r="G258" s="8" t="n">
        <v>4</v>
      </c>
      <c r="H258" s="5" t="n">
        <v>2010</v>
      </c>
      <c r="I258" s="5" t="n">
        <v>8</v>
      </c>
    </row>
    <row r="259">
      <c r="A259" s="5" t="inlineStr">
        <is>
          <t>2010-08</t>
        </is>
      </c>
      <c r="B259" s="5" t="inlineStr">
        <is>
          <t>Rest of Europe</t>
        </is>
      </c>
      <c r="C259" s="5" t="inlineStr">
        <is>
          <t>85123A</t>
        </is>
      </c>
      <c r="D259" s="5" t="inlineStr">
        <is>
          <t>WHITE HANGING HEART T-LIGHT HOLDER</t>
        </is>
      </c>
      <c r="E259" s="7" t="n">
        <v>1312.5</v>
      </c>
      <c r="F259" s="8" t="n">
        <v>510</v>
      </c>
      <c r="G259" s="8" t="n">
        <v>4</v>
      </c>
      <c r="H259" s="5" t="n">
        <v>2010</v>
      </c>
      <c r="I259" s="5" t="n">
        <v>8</v>
      </c>
    </row>
    <row r="260">
      <c r="A260" s="5" t="inlineStr">
        <is>
          <t>2010-08</t>
        </is>
      </c>
      <c r="B260" s="5" t="inlineStr">
        <is>
          <t>Rest of Europe</t>
        </is>
      </c>
      <c r="C260" s="5" t="inlineStr">
        <is>
          <t>ALL OTHER PRODUCTS</t>
        </is>
      </c>
      <c r="D260" s="5" t="inlineStr">
        <is>
          <t>All other products</t>
        </is>
      </c>
      <c r="E260" s="7" t="n">
        <v>61914.88</v>
      </c>
      <c r="F260" s="8" t="n">
        <v>121333</v>
      </c>
      <c r="G260" s="8" t="n">
        <v>67</v>
      </c>
      <c r="H260" s="5" t="n">
        <v>2010</v>
      </c>
      <c r="I260" s="5" t="n">
        <v>8</v>
      </c>
    </row>
    <row r="261">
      <c r="A261" s="5" t="inlineStr">
        <is>
          <t>2010-08</t>
        </is>
      </c>
      <c r="B261" s="5" t="inlineStr">
        <is>
          <t>Rest of World</t>
        </is>
      </c>
      <c r="C261" s="5" t="inlineStr">
        <is>
          <t>ALL OTHER PRODUCTS</t>
        </is>
      </c>
      <c r="D261" s="5" t="inlineStr">
        <is>
          <t>All other products</t>
        </is>
      </c>
      <c r="E261" s="7" t="n">
        <v>2872.26</v>
      </c>
      <c r="F261" s="8" t="n">
        <v>1949</v>
      </c>
      <c r="G261" s="8" t="n">
        <v>4</v>
      </c>
      <c r="H261" s="5" t="n">
        <v>2010</v>
      </c>
      <c r="I261" s="5" t="n">
        <v>8</v>
      </c>
    </row>
    <row r="262">
      <c r="A262" s="5" t="inlineStr">
        <is>
          <t>2010-08</t>
        </is>
      </c>
      <c r="B262" s="5" t="inlineStr">
        <is>
          <t>United Kingdom</t>
        </is>
      </c>
      <c r="C262" s="5" t="inlineStr">
        <is>
          <t>20725</t>
        </is>
      </c>
      <c r="D262" s="5" t="inlineStr">
        <is>
          <t>LUNCH BAG RED RETROSPOT</t>
        </is>
      </c>
      <c r="E262" s="7" t="n">
        <v>4888.78</v>
      </c>
      <c r="F262" s="8" t="n">
        <v>2534</v>
      </c>
      <c r="G262" s="8" t="n">
        <v>149</v>
      </c>
      <c r="H262" s="5" t="n">
        <v>2010</v>
      </c>
      <c r="I262" s="5" t="n">
        <v>8</v>
      </c>
    </row>
    <row r="263">
      <c r="A263" s="5" t="inlineStr">
        <is>
          <t>2010-08</t>
        </is>
      </c>
      <c r="B263" s="5" t="inlineStr">
        <is>
          <t>United Kingdom</t>
        </is>
      </c>
      <c r="C263" s="5" t="inlineStr">
        <is>
          <t>22086</t>
        </is>
      </c>
      <c r="D263" s="5" t="inlineStr">
        <is>
          <t>PAPER CHAIN KIT 50'S CHRISTMAS</t>
        </is>
      </c>
      <c r="E263" s="7" t="n">
        <v>758.4400000000001</v>
      </c>
      <c r="F263" s="8" t="n">
        <v>264</v>
      </c>
      <c r="G263" s="8" t="n">
        <v>27</v>
      </c>
      <c r="H263" s="5" t="n">
        <v>2010</v>
      </c>
      <c r="I263" s="5" t="n">
        <v>8</v>
      </c>
    </row>
    <row r="264">
      <c r="A264" s="5" t="inlineStr">
        <is>
          <t>2010-08</t>
        </is>
      </c>
      <c r="B264" s="5" t="inlineStr">
        <is>
          <t>United Kingdom</t>
        </is>
      </c>
      <c r="C264" s="5" t="inlineStr">
        <is>
          <t>22197</t>
        </is>
      </c>
      <c r="D264" s="5" t="inlineStr">
        <is>
          <t>SMALL POPCORN HOLDER</t>
        </is>
      </c>
      <c r="E264" s="7" t="n">
        <v>1466.5</v>
      </c>
      <c r="F264" s="8" t="n">
        <v>1926</v>
      </c>
      <c r="G264" s="8" t="n">
        <v>60</v>
      </c>
      <c r="H264" s="5" t="n">
        <v>2010</v>
      </c>
      <c r="I264" s="5" t="n">
        <v>8</v>
      </c>
    </row>
    <row r="265">
      <c r="A265" s="5" t="inlineStr">
        <is>
          <t>2010-08</t>
        </is>
      </c>
      <c r="B265" s="5" t="inlineStr">
        <is>
          <t>United Kingdom</t>
        </is>
      </c>
      <c r="C265" s="5" t="inlineStr">
        <is>
          <t>22386</t>
        </is>
      </c>
      <c r="D265" s="5" t="inlineStr">
        <is>
          <t>JUMBO BAG PINK POLKADOT</t>
        </is>
      </c>
      <c r="E265" s="7" t="n">
        <v>3238.37</v>
      </c>
      <c r="F265" s="8" t="n">
        <v>1553</v>
      </c>
      <c r="G265" s="8" t="n">
        <v>108</v>
      </c>
      <c r="H265" s="5" t="n">
        <v>2010</v>
      </c>
      <c r="I265" s="5" t="n">
        <v>8</v>
      </c>
    </row>
    <row r="266">
      <c r="A266" s="5" t="inlineStr">
        <is>
          <t>2010-08</t>
        </is>
      </c>
      <c r="B266" s="5" t="inlineStr">
        <is>
          <t>United Kingdom</t>
        </is>
      </c>
      <c r="C266" s="5" t="inlineStr">
        <is>
          <t>22423</t>
        </is>
      </c>
      <c r="D266" s="5" t="inlineStr">
        <is>
          <t>REGENCY CAKESTAND 3 TIER</t>
        </is>
      </c>
      <c r="E266" s="7" t="n">
        <v>11649.63</v>
      </c>
      <c r="F266" s="8" t="n">
        <v>903</v>
      </c>
      <c r="G266" s="8" t="n">
        <v>178</v>
      </c>
      <c r="H266" s="5" t="n">
        <v>2010</v>
      </c>
      <c r="I266" s="5" t="n">
        <v>8</v>
      </c>
    </row>
    <row r="267">
      <c r="A267" s="5" t="inlineStr">
        <is>
          <t>2010-08</t>
        </is>
      </c>
      <c r="B267" s="5" t="inlineStr">
        <is>
          <t>United Kingdom</t>
        </is>
      </c>
      <c r="C267" s="5" t="inlineStr">
        <is>
          <t>47566</t>
        </is>
      </c>
      <c r="D267" s="5" t="inlineStr">
        <is>
          <t>PARTY BUNTING</t>
        </is>
      </c>
      <c r="E267" s="7" t="n">
        <v>5502.11</v>
      </c>
      <c r="F267" s="8" t="n">
        <v>609</v>
      </c>
      <c r="G267" s="8" t="n">
        <v>34</v>
      </c>
      <c r="H267" s="5" t="n">
        <v>2010</v>
      </c>
      <c r="I267" s="5" t="n">
        <v>8</v>
      </c>
    </row>
    <row r="268">
      <c r="A268" s="5" t="inlineStr">
        <is>
          <t>2010-08</t>
        </is>
      </c>
      <c r="B268" s="5" t="inlineStr">
        <is>
          <t>United Kingdom</t>
        </is>
      </c>
      <c r="C268" s="5" t="inlineStr">
        <is>
          <t>79321</t>
        </is>
      </c>
      <c r="D268" s="5" t="inlineStr">
        <is>
          <t>CHILLI LIGHTS</t>
        </is>
      </c>
      <c r="E268" s="7" t="n">
        <v>1155.25</v>
      </c>
      <c r="F268" s="8" t="n">
        <v>221</v>
      </c>
      <c r="G268" s="8" t="n">
        <v>24</v>
      </c>
      <c r="H268" s="5" t="n">
        <v>2010</v>
      </c>
      <c r="I268" s="5" t="n">
        <v>8</v>
      </c>
    </row>
    <row r="269">
      <c r="A269" s="5" t="inlineStr">
        <is>
          <t>2010-08</t>
        </is>
      </c>
      <c r="B269" s="5" t="inlineStr">
        <is>
          <t>United Kingdom</t>
        </is>
      </c>
      <c r="C269" s="5" t="inlineStr">
        <is>
          <t>84347</t>
        </is>
      </c>
      <c r="D269" s="5" t="inlineStr">
        <is>
          <t>ROTATING SILVER ANGELS T-LIGHT HLDR</t>
        </is>
      </c>
      <c r="E269" s="7" t="n">
        <v>479.73</v>
      </c>
      <c r="F269" s="8" t="n">
        <v>173</v>
      </c>
      <c r="G269" s="8" t="n">
        <v>21</v>
      </c>
      <c r="H269" s="5" t="n">
        <v>2010</v>
      </c>
      <c r="I269" s="5" t="n">
        <v>8</v>
      </c>
    </row>
    <row r="270">
      <c r="A270" s="5" t="inlineStr">
        <is>
          <t>2010-08</t>
        </is>
      </c>
      <c r="B270" s="5" t="inlineStr">
        <is>
          <t>United Kingdom</t>
        </is>
      </c>
      <c r="C270" s="5" t="inlineStr">
        <is>
          <t>84879</t>
        </is>
      </c>
      <c r="D270" s="5" t="inlineStr">
        <is>
          <t>ASSORTED COLOUR BIRD ORNAMENT</t>
        </is>
      </c>
      <c r="E270" s="7" t="n">
        <v>4893.39</v>
      </c>
      <c r="F270" s="8" t="n">
        <v>3075</v>
      </c>
      <c r="G270" s="8" t="n">
        <v>86</v>
      </c>
      <c r="H270" s="5" t="n">
        <v>2010</v>
      </c>
      <c r="I270" s="5" t="n">
        <v>8</v>
      </c>
    </row>
    <row r="271">
      <c r="A271" s="5" t="inlineStr">
        <is>
          <t>2010-08</t>
        </is>
      </c>
      <c r="B271" s="5" t="inlineStr">
        <is>
          <t>United Kingdom</t>
        </is>
      </c>
      <c r="C271" s="5" t="inlineStr">
        <is>
          <t>85099B</t>
        </is>
      </c>
      <c r="D271" s="5" t="inlineStr">
        <is>
          <t>JUMBO BAG RED RETROSPOT</t>
        </is>
      </c>
      <c r="E271" s="7" t="n">
        <v>3514.29</v>
      </c>
      <c r="F271" s="8" t="n">
        <v>1801</v>
      </c>
      <c r="G271" s="8" t="n">
        <v>95</v>
      </c>
      <c r="H271" s="5" t="n">
        <v>2010</v>
      </c>
      <c r="I271" s="5" t="n">
        <v>8</v>
      </c>
    </row>
    <row r="272">
      <c r="A272" s="5" t="inlineStr">
        <is>
          <t>2010-08</t>
        </is>
      </c>
      <c r="B272" s="5" t="inlineStr">
        <is>
          <t>United Kingdom</t>
        </is>
      </c>
      <c r="C272" s="5" t="inlineStr">
        <is>
          <t>85123A</t>
        </is>
      </c>
      <c r="D272" s="5" t="inlineStr">
        <is>
          <t>WHITE HANGING HEART T-LIGHT HOLDER</t>
        </is>
      </c>
      <c r="E272" s="7" t="n">
        <v>11289.13</v>
      </c>
      <c r="F272" s="8" t="n">
        <v>4170</v>
      </c>
      <c r="G272" s="8" t="n">
        <v>241</v>
      </c>
      <c r="H272" s="5" t="n">
        <v>2010</v>
      </c>
      <c r="I272" s="5" t="n">
        <v>8</v>
      </c>
    </row>
    <row r="273">
      <c r="A273" s="5" t="inlineStr">
        <is>
          <t>2010-08</t>
        </is>
      </c>
      <c r="B273" s="5" t="inlineStr">
        <is>
          <t>United Kingdom</t>
        </is>
      </c>
      <c r="C273" s="5" t="inlineStr">
        <is>
          <t>ALL OTHER PRODUCTS</t>
        </is>
      </c>
      <c r="D273" s="5" t="inlineStr">
        <is>
          <t>All other products</t>
        </is>
      </c>
      <c r="E273" s="7" t="n">
        <v>531288.75</v>
      </c>
      <c r="F273" s="8" t="n">
        <v>314314</v>
      </c>
      <c r="G273" s="8" t="n">
        <v>1294</v>
      </c>
      <c r="H273" s="5" t="n">
        <v>2010</v>
      </c>
      <c r="I273" s="5" t="n">
        <v>8</v>
      </c>
    </row>
    <row r="274">
      <c r="A274" s="5" t="inlineStr">
        <is>
          <t>2010-09</t>
        </is>
      </c>
      <c r="B274" s="5" t="inlineStr">
        <is>
          <t>Ireland (EIRE)</t>
        </is>
      </c>
      <c r="C274" s="5" t="inlineStr">
        <is>
          <t>20725</t>
        </is>
      </c>
      <c r="D274" s="5" t="inlineStr">
        <is>
          <t>LUNCH BAG RED RETROSPOT</t>
        </is>
      </c>
      <c r="E274" s="7" t="n">
        <v>132</v>
      </c>
      <c r="F274" s="8" t="n">
        <v>80</v>
      </c>
      <c r="G274" s="8" t="n">
        <v>2</v>
      </c>
      <c r="H274" s="5" t="n">
        <v>2010</v>
      </c>
      <c r="I274" s="5" t="n">
        <v>9</v>
      </c>
    </row>
    <row r="275">
      <c r="A275" s="5" t="inlineStr">
        <is>
          <t>2010-09</t>
        </is>
      </c>
      <c r="B275" s="5" t="inlineStr">
        <is>
          <t>Ireland (EIRE)</t>
        </is>
      </c>
      <c r="C275" s="5" t="inlineStr">
        <is>
          <t>22086</t>
        </is>
      </c>
      <c r="D275" s="5" t="inlineStr">
        <is>
          <t>PAPER CHAIN KIT 50'S CHRISTMAS</t>
        </is>
      </c>
      <c r="E275" s="7" t="n">
        <v>17.7</v>
      </c>
      <c r="F275" s="8" t="n">
        <v>6</v>
      </c>
      <c r="G275" s="8" t="n">
        <v>1</v>
      </c>
      <c r="H275" s="5" t="n">
        <v>2010</v>
      </c>
      <c r="I275" s="5" t="n">
        <v>9</v>
      </c>
    </row>
    <row r="276">
      <c r="A276" s="5" t="inlineStr">
        <is>
          <t>2010-09</t>
        </is>
      </c>
      <c r="B276" s="5" t="inlineStr">
        <is>
          <t>Ireland (EIRE)</t>
        </is>
      </c>
      <c r="C276" s="5" t="inlineStr">
        <is>
          <t>22197</t>
        </is>
      </c>
      <c r="D276" s="5" t="inlineStr">
        <is>
          <t>SMALL POPCORN HOLDER</t>
        </is>
      </c>
      <c r="E276" s="7" t="n">
        <v>40.8</v>
      </c>
      <c r="F276" s="8" t="n">
        <v>48</v>
      </c>
      <c r="G276" s="8" t="n">
        <v>2</v>
      </c>
      <c r="H276" s="5" t="n">
        <v>2010</v>
      </c>
      <c r="I276" s="5" t="n">
        <v>9</v>
      </c>
    </row>
    <row r="277">
      <c r="A277" s="5" t="inlineStr">
        <is>
          <t>2010-09</t>
        </is>
      </c>
      <c r="B277" s="5" t="inlineStr">
        <is>
          <t>Ireland (EIRE)</t>
        </is>
      </c>
      <c r="C277" s="5" t="inlineStr">
        <is>
          <t>22423</t>
        </is>
      </c>
      <c r="D277" s="5" t="inlineStr">
        <is>
          <t>REGENCY CAKESTAND 3 TIER</t>
        </is>
      </c>
      <c r="E277" s="7" t="n">
        <v>1983.15</v>
      </c>
      <c r="F277" s="8" t="n">
        <v>177</v>
      </c>
      <c r="G277" s="8" t="n">
        <v>13</v>
      </c>
      <c r="H277" s="5" t="n">
        <v>2010</v>
      </c>
      <c r="I277" s="5" t="n">
        <v>9</v>
      </c>
    </row>
    <row r="278">
      <c r="A278" s="5" t="inlineStr">
        <is>
          <t>2010-09</t>
        </is>
      </c>
      <c r="B278" s="5" t="inlineStr">
        <is>
          <t>Ireland (EIRE)</t>
        </is>
      </c>
      <c r="C278" s="5" t="inlineStr">
        <is>
          <t>79321</t>
        </is>
      </c>
      <c r="D278" s="5" t="inlineStr">
        <is>
          <t>CHILLI LIGHTS</t>
        </is>
      </c>
      <c r="E278" s="7" t="n">
        <v>29.7</v>
      </c>
      <c r="F278" s="8" t="n">
        <v>6</v>
      </c>
      <c r="G278" s="8" t="n">
        <v>1</v>
      </c>
      <c r="H278" s="5" t="n">
        <v>2010</v>
      </c>
      <c r="I278" s="5" t="n">
        <v>9</v>
      </c>
    </row>
    <row r="279">
      <c r="A279" s="5" t="inlineStr">
        <is>
          <t>2010-09</t>
        </is>
      </c>
      <c r="B279" s="5" t="inlineStr">
        <is>
          <t>Ireland (EIRE)</t>
        </is>
      </c>
      <c r="C279" s="5" t="inlineStr">
        <is>
          <t>84347</t>
        </is>
      </c>
      <c r="D279" s="5" t="inlineStr">
        <is>
          <t>ROTATING SILVER ANGELS T-LIGHT HLDR</t>
        </is>
      </c>
      <c r="E279" s="7" t="n">
        <v>61.2</v>
      </c>
      <c r="F279" s="8" t="n">
        <v>24</v>
      </c>
      <c r="G279" s="8" t="n">
        <v>1</v>
      </c>
      <c r="H279" s="5" t="n">
        <v>2010</v>
      </c>
      <c r="I279" s="5" t="n">
        <v>9</v>
      </c>
    </row>
    <row r="280">
      <c r="A280" s="5" t="inlineStr">
        <is>
          <t>2010-09</t>
        </is>
      </c>
      <c r="B280" s="5" t="inlineStr">
        <is>
          <t>Ireland (EIRE)</t>
        </is>
      </c>
      <c r="C280" s="5" t="inlineStr">
        <is>
          <t>84879</t>
        </is>
      </c>
      <c r="D280" s="5" t="inlineStr">
        <is>
          <t>ASSORTED COLOUR BIRD ORNAMENT</t>
        </is>
      </c>
      <c r="E280" s="7" t="n">
        <v>13.52</v>
      </c>
      <c r="F280" s="8" t="n">
        <v>8</v>
      </c>
      <c r="G280" s="8" t="n">
        <v>1</v>
      </c>
      <c r="H280" s="5" t="n">
        <v>2010</v>
      </c>
      <c r="I280" s="5" t="n">
        <v>9</v>
      </c>
    </row>
    <row r="281">
      <c r="A281" s="5" t="inlineStr">
        <is>
          <t>2010-09</t>
        </is>
      </c>
      <c r="B281" s="5" t="inlineStr">
        <is>
          <t>Ireland (EIRE)</t>
        </is>
      </c>
      <c r="C281" s="5" t="inlineStr">
        <is>
          <t>85123A</t>
        </is>
      </c>
      <c r="D281" s="5" t="inlineStr">
        <is>
          <t>WHITE HANGING HEART T-LIGHT HOLDER</t>
        </is>
      </c>
      <c r="E281" s="7" t="n">
        <v>357.9</v>
      </c>
      <c r="F281" s="8" t="n">
        <v>130</v>
      </c>
      <c r="G281" s="8" t="n">
        <v>6</v>
      </c>
      <c r="H281" s="5" t="n">
        <v>2010</v>
      </c>
      <c r="I281" s="5" t="n">
        <v>9</v>
      </c>
    </row>
    <row r="282">
      <c r="A282" s="5" t="inlineStr">
        <is>
          <t>2010-09</t>
        </is>
      </c>
      <c r="B282" s="5" t="inlineStr">
        <is>
          <t>Ireland (EIRE)</t>
        </is>
      </c>
      <c r="C282" s="5" t="inlineStr">
        <is>
          <t>ALL OTHER PRODUCTS</t>
        </is>
      </c>
      <c r="D282" s="5" t="inlineStr">
        <is>
          <t>All other products</t>
        </is>
      </c>
      <c r="E282" s="7" t="n">
        <v>33236.15</v>
      </c>
      <c r="F282" s="8" t="n">
        <v>19618</v>
      </c>
      <c r="G282" s="8" t="n">
        <v>31</v>
      </c>
      <c r="H282" s="5" t="n">
        <v>2010</v>
      </c>
      <c r="I282" s="5" t="n">
        <v>9</v>
      </c>
    </row>
    <row r="283">
      <c r="A283" s="5" t="inlineStr">
        <is>
          <t>2010-09</t>
        </is>
      </c>
      <c r="B283" s="5" t="inlineStr">
        <is>
          <t>Rest of Europe</t>
        </is>
      </c>
      <c r="C283" s="5" t="inlineStr">
        <is>
          <t>20725</t>
        </is>
      </c>
      <c r="D283" s="5" t="inlineStr">
        <is>
          <t>LUNCH BAG RED RETROSPOT</t>
        </is>
      </c>
      <c r="E283" s="7" t="n">
        <v>570.5</v>
      </c>
      <c r="F283" s="8" t="n">
        <v>370</v>
      </c>
      <c r="G283" s="8" t="n">
        <v>15</v>
      </c>
      <c r="H283" s="5" t="n">
        <v>2010</v>
      </c>
      <c r="I283" s="5" t="n">
        <v>9</v>
      </c>
    </row>
    <row r="284">
      <c r="A284" s="5" t="inlineStr">
        <is>
          <t>2010-09</t>
        </is>
      </c>
      <c r="B284" s="5" t="inlineStr">
        <is>
          <t>Rest of Europe</t>
        </is>
      </c>
      <c r="C284" s="5" t="inlineStr">
        <is>
          <t>22086</t>
        </is>
      </c>
      <c r="D284" s="5" t="inlineStr">
        <is>
          <t>PAPER CHAIN KIT 50'S CHRISTMAS</t>
        </is>
      </c>
      <c r="E284" s="7" t="n">
        <v>119.7</v>
      </c>
      <c r="F284" s="8" t="n">
        <v>46</v>
      </c>
      <c r="G284" s="8" t="n">
        <v>2</v>
      </c>
      <c r="H284" s="5" t="n">
        <v>2010</v>
      </c>
      <c r="I284" s="5" t="n">
        <v>9</v>
      </c>
    </row>
    <row r="285">
      <c r="A285" s="5" t="inlineStr">
        <is>
          <t>2010-09</t>
        </is>
      </c>
      <c r="B285" s="5" t="inlineStr">
        <is>
          <t>Rest of Europe</t>
        </is>
      </c>
      <c r="C285" s="5" t="inlineStr">
        <is>
          <t>22197</t>
        </is>
      </c>
      <c r="D285" s="5" t="inlineStr">
        <is>
          <t>SMALL POPCORN HOLDER</t>
        </is>
      </c>
      <c r="E285" s="7" t="n">
        <v>78.2</v>
      </c>
      <c r="F285" s="8" t="n">
        <v>92</v>
      </c>
      <c r="G285" s="8" t="n">
        <v>7</v>
      </c>
      <c r="H285" s="5" t="n">
        <v>2010</v>
      </c>
      <c r="I285" s="5" t="n">
        <v>9</v>
      </c>
    </row>
    <row r="286">
      <c r="A286" s="5" t="inlineStr">
        <is>
          <t>2010-09</t>
        </is>
      </c>
      <c r="B286" s="5" t="inlineStr">
        <is>
          <t>Rest of Europe</t>
        </is>
      </c>
      <c r="C286" s="5" t="inlineStr">
        <is>
          <t>22386</t>
        </is>
      </c>
      <c r="D286" s="5" t="inlineStr">
        <is>
          <t>JUMBO BAG PINK POLKADOT</t>
        </is>
      </c>
      <c r="E286" s="7" t="n">
        <v>379.5</v>
      </c>
      <c r="F286" s="8" t="n">
        <v>210</v>
      </c>
      <c r="G286" s="8" t="n">
        <v>10</v>
      </c>
      <c r="H286" s="5" t="n">
        <v>2010</v>
      </c>
      <c r="I286" s="5" t="n">
        <v>9</v>
      </c>
    </row>
    <row r="287">
      <c r="A287" s="5" t="inlineStr">
        <is>
          <t>2010-09</t>
        </is>
      </c>
      <c r="B287" s="5" t="inlineStr">
        <is>
          <t>Rest of Europe</t>
        </is>
      </c>
      <c r="C287" s="5" t="inlineStr">
        <is>
          <t>22423</t>
        </is>
      </c>
      <c r="D287" s="5" t="inlineStr">
        <is>
          <t>REGENCY CAKESTAND 3 TIER</t>
        </is>
      </c>
      <c r="E287" s="7" t="n">
        <v>1322.25</v>
      </c>
      <c r="F287" s="8" t="n">
        <v>115</v>
      </c>
      <c r="G287" s="8" t="n">
        <v>15</v>
      </c>
      <c r="H287" s="5" t="n">
        <v>2010</v>
      </c>
      <c r="I287" s="5" t="n">
        <v>9</v>
      </c>
    </row>
    <row r="288">
      <c r="A288" s="5" t="inlineStr">
        <is>
          <t>2010-09</t>
        </is>
      </c>
      <c r="B288" s="5" t="inlineStr">
        <is>
          <t>Rest of Europe</t>
        </is>
      </c>
      <c r="C288" s="5" t="inlineStr">
        <is>
          <t>79321</t>
        </is>
      </c>
      <c r="D288" s="5" t="inlineStr">
        <is>
          <t>CHILLI LIGHTS</t>
        </is>
      </c>
      <c r="E288" s="7" t="n">
        <v>39.6</v>
      </c>
      <c r="F288" s="8" t="n">
        <v>8</v>
      </c>
      <c r="G288" s="8" t="n">
        <v>1</v>
      </c>
      <c r="H288" s="5" t="n">
        <v>2010</v>
      </c>
      <c r="I288" s="5" t="n">
        <v>9</v>
      </c>
    </row>
    <row r="289">
      <c r="A289" s="5" t="inlineStr">
        <is>
          <t>2010-09</t>
        </is>
      </c>
      <c r="B289" s="5" t="inlineStr">
        <is>
          <t>Rest of Europe</t>
        </is>
      </c>
      <c r="C289" s="5" t="inlineStr">
        <is>
          <t>84347</t>
        </is>
      </c>
      <c r="D289" s="5" t="inlineStr">
        <is>
          <t>ROTATING SILVER ANGELS T-LIGHT HLDR</t>
        </is>
      </c>
      <c r="E289" s="7" t="n">
        <v>76.5</v>
      </c>
      <c r="F289" s="8" t="n">
        <v>30</v>
      </c>
      <c r="G289" s="8" t="n">
        <v>3</v>
      </c>
      <c r="H289" s="5" t="n">
        <v>2010</v>
      </c>
      <c r="I289" s="5" t="n">
        <v>9</v>
      </c>
    </row>
    <row r="290">
      <c r="A290" s="5" t="inlineStr">
        <is>
          <t>2010-09</t>
        </is>
      </c>
      <c r="B290" s="5" t="inlineStr">
        <is>
          <t>Rest of Europe</t>
        </is>
      </c>
      <c r="C290" s="5" t="inlineStr">
        <is>
          <t>84879</t>
        </is>
      </c>
      <c r="D290" s="5" t="inlineStr">
        <is>
          <t>ASSORTED COLOUR BIRD ORNAMENT</t>
        </is>
      </c>
      <c r="E290" s="7" t="n">
        <v>774.96</v>
      </c>
      <c r="F290" s="8" t="n">
        <v>504</v>
      </c>
      <c r="G290" s="8" t="n">
        <v>8</v>
      </c>
      <c r="H290" s="5" t="n">
        <v>2010</v>
      </c>
      <c r="I290" s="5" t="n">
        <v>9</v>
      </c>
    </row>
    <row r="291">
      <c r="A291" s="5" t="inlineStr">
        <is>
          <t>2010-09</t>
        </is>
      </c>
      <c r="B291" s="5" t="inlineStr">
        <is>
          <t>Rest of Europe</t>
        </is>
      </c>
      <c r="C291" s="5" t="inlineStr">
        <is>
          <t>85099B</t>
        </is>
      </c>
      <c r="D291" s="5" t="inlineStr">
        <is>
          <t>JUMBO BAG RED RETROSPOT</t>
        </is>
      </c>
      <c r="E291" s="7" t="n">
        <v>631.5</v>
      </c>
      <c r="F291" s="8" t="n">
        <v>370</v>
      </c>
      <c r="G291" s="8" t="n">
        <v>7</v>
      </c>
      <c r="H291" s="5" t="n">
        <v>2010</v>
      </c>
      <c r="I291" s="5" t="n">
        <v>9</v>
      </c>
    </row>
    <row r="292">
      <c r="A292" s="5" t="inlineStr">
        <is>
          <t>2010-09</t>
        </is>
      </c>
      <c r="B292" s="5" t="inlineStr">
        <is>
          <t>Rest of Europe</t>
        </is>
      </c>
      <c r="C292" s="5" t="inlineStr">
        <is>
          <t>85123A</t>
        </is>
      </c>
      <c r="D292" s="5" t="inlineStr">
        <is>
          <t>WHITE HANGING HEART T-LIGHT HOLDER</t>
        </is>
      </c>
      <c r="E292" s="7" t="n">
        <v>1158.15</v>
      </c>
      <c r="F292" s="8" t="n">
        <v>449</v>
      </c>
      <c r="G292" s="8" t="n">
        <v>7</v>
      </c>
      <c r="H292" s="5" t="n">
        <v>2010</v>
      </c>
      <c r="I292" s="5" t="n">
        <v>9</v>
      </c>
    </row>
    <row r="293">
      <c r="A293" s="5" t="inlineStr">
        <is>
          <t>2010-09</t>
        </is>
      </c>
      <c r="B293" s="5" t="inlineStr">
        <is>
          <t>Rest of Europe</t>
        </is>
      </c>
      <c r="C293" s="5" t="inlineStr">
        <is>
          <t>ALL OTHER PRODUCTS</t>
        </is>
      </c>
      <c r="D293" s="5" t="inlineStr">
        <is>
          <t>All other products</t>
        </is>
      </c>
      <c r="E293" s="7" t="n">
        <v>94854.88</v>
      </c>
      <c r="F293" s="8" t="n">
        <v>61836</v>
      </c>
      <c r="G293" s="8" t="n">
        <v>118</v>
      </c>
      <c r="H293" s="5" t="n">
        <v>2010</v>
      </c>
      <c r="I293" s="5" t="n">
        <v>9</v>
      </c>
    </row>
    <row r="294">
      <c r="A294" s="5" t="inlineStr">
        <is>
          <t>2010-09</t>
        </is>
      </c>
      <c r="B294" s="5" t="inlineStr">
        <is>
          <t>Rest of World</t>
        </is>
      </c>
      <c r="C294" s="5" t="inlineStr">
        <is>
          <t>20725</t>
        </is>
      </c>
      <c r="D294" s="5" t="inlineStr">
        <is>
          <t>LUNCH BAG RED RETROSPOT</t>
        </is>
      </c>
      <c r="E294" s="7" t="n">
        <v>161.5</v>
      </c>
      <c r="F294" s="8" t="n">
        <v>110</v>
      </c>
      <c r="G294" s="8" t="n">
        <v>2</v>
      </c>
      <c r="H294" s="5" t="n">
        <v>2010</v>
      </c>
      <c r="I294" s="5" t="n">
        <v>9</v>
      </c>
    </row>
    <row r="295">
      <c r="A295" s="5" t="inlineStr">
        <is>
          <t>2010-09</t>
        </is>
      </c>
      <c r="B295" s="5" t="inlineStr">
        <is>
          <t>Rest of World</t>
        </is>
      </c>
      <c r="C295" s="5" t="inlineStr">
        <is>
          <t>22086</t>
        </is>
      </c>
      <c r="D295" s="5" t="inlineStr">
        <is>
          <t>PAPER CHAIN KIT 50'S CHRISTMAS</t>
        </is>
      </c>
      <c r="E295" s="7" t="n">
        <v>59</v>
      </c>
      <c r="F295" s="8" t="n">
        <v>20</v>
      </c>
      <c r="G295" s="8" t="n">
        <v>1</v>
      </c>
      <c r="H295" s="5" t="n">
        <v>2010</v>
      </c>
      <c r="I295" s="5" t="n">
        <v>9</v>
      </c>
    </row>
    <row r="296">
      <c r="A296" s="5" t="inlineStr">
        <is>
          <t>2010-09</t>
        </is>
      </c>
      <c r="B296" s="5" t="inlineStr">
        <is>
          <t>Rest of World</t>
        </is>
      </c>
      <c r="C296" s="5" t="inlineStr">
        <is>
          <t>22197</t>
        </is>
      </c>
      <c r="D296" s="5" t="inlineStr">
        <is>
          <t>SMALL POPCORN HOLDER</t>
        </is>
      </c>
      <c r="E296" s="7" t="n">
        <v>20.4</v>
      </c>
      <c r="F296" s="8" t="n">
        <v>24</v>
      </c>
      <c r="G296" s="8" t="n">
        <v>2</v>
      </c>
      <c r="H296" s="5" t="n">
        <v>2010</v>
      </c>
      <c r="I296" s="5" t="n">
        <v>9</v>
      </c>
    </row>
    <row r="297">
      <c r="A297" s="5" t="inlineStr">
        <is>
          <t>2010-09</t>
        </is>
      </c>
      <c r="B297" s="5" t="inlineStr">
        <is>
          <t>Rest of World</t>
        </is>
      </c>
      <c r="C297" s="5" t="inlineStr">
        <is>
          <t>22423</t>
        </is>
      </c>
      <c r="D297" s="5" t="inlineStr">
        <is>
          <t>REGENCY CAKESTAND 3 TIER</t>
        </is>
      </c>
      <c r="E297" s="7" t="n">
        <v>739.05</v>
      </c>
      <c r="F297" s="8" t="n">
        <v>67</v>
      </c>
      <c r="G297" s="8" t="n">
        <v>2</v>
      </c>
      <c r="H297" s="5" t="n">
        <v>2010</v>
      </c>
      <c r="I297" s="5" t="n">
        <v>9</v>
      </c>
    </row>
    <row r="298">
      <c r="A298" s="5" t="inlineStr">
        <is>
          <t>2010-09</t>
        </is>
      </c>
      <c r="B298" s="5" t="inlineStr">
        <is>
          <t>Rest of World</t>
        </is>
      </c>
      <c r="C298" s="5" t="inlineStr">
        <is>
          <t>84879</t>
        </is>
      </c>
      <c r="D298" s="5" t="inlineStr">
        <is>
          <t>ASSORTED COLOUR BIRD ORNAMENT</t>
        </is>
      </c>
      <c r="E298" s="7" t="n">
        <v>10.14</v>
      </c>
      <c r="F298" s="8" t="n">
        <v>6</v>
      </c>
      <c r="G298" s="8" t="n">
        <v>1</v>
      </c>
      <c r="H298" s="5" t="n">
        <v>2010</v>
      </c>
      <c r="I298" s="5" t="n">
        <v>9</v>
      </c>
    </row>
    <row r="299">
      <c r="A299" s="5" t="inlineStr">
        <is>
          <t>2010-09</t>
        </is>
      </c>
      <c r="B299" s="5" t="inlineStr">
        <is>
          <t>Rest of World</t>
        </is>
      </c>
      <c r="C299" s="5" t="inlineStr">
        <is>
          <t>85123A</t>
        </is>
      </c>
      <c r="D299" s="5" t="inlineStr">
        <is>
          <t>WHITE HANGING HEART T-LIGHT HOLDER</t>
        </is>
      </c>
      <c r="E299" s="7" t="n">
        <v>189.75</v>
      </c>
      <c r="F299" s="8" t="n">
        <v>73</v>
      </c>
      <c r="G299" s="8" t="n">
        <v>3</v>
      </c>
      <c r="H299" s="5" t="n">
        <v>2010</v>
      </c>
      <c r="I299" s="5" t="n">
        <v>9</v>
      </c>
    </row>
    <row r="300">
      <c r="A300" s="5" t="inlineStr">
        <is>
          <t>2010-09</t>
        </is>
      </c>
      <c r="B300" s="5" t="inlineStr">
        <is>
          <t>Rest of World</t>
        </is>
      </c>
      <c r="C300" s="5" t="inlineStr">
        <is>
          <t>ALL OTHER PRODUCTS</t>
        </is>
      </c>
      <c r="D300" s="5" t="inlineStr">
        <is>
          <t>All other products</t>
        </is>
      </c>
      <c r="E300" s="7" t="n">
        <v>7280.86</v>
      </c>
      <c r="F300" s="8" t="n">
        <v>4512</v>
      </c>
      <c r="G300" s="8" t="n">
        <v>12</v>
      </c>
      <c r="H300" s="5" t="n">
        <v>2010</v>
      </c>
      <c r="I300" s="5" t="n">
        <v>9</v>
      </c>
    </row>
    <row r="301">
      <c r="A301" s="5" t="inlineStr">
        <is>
          <t>2010-09</t>
        </is>
      </c>
      <c r="B301" s="5" t="inlineStr">
        <is>
          <t>United Kingdom</t>
        </is>
      </c>
      <c r="C301" s="5" t="inlineStr">
        <is>
          <t>20725</t>
        </is>
      </c>
      <c r="D301" s="5" t="inlineStr">
        <is>
          <t>LUNCH BAG RED RETROSPOT</t>
        </is>
      </c>
      <c r="E301" s="7" t="n">
        <v>2489.84</v>
      </c>
      <c r="F301" s="8" t="n">
        <v>1355</v>
      </c>
      <c r="G301" s="8" t="n">
        <v>119</v>
      </c>
      <c r="H301" s="5" t="n">
        <v>2010</v>
      </c>
      <c r="I301" s="5" t="n">
        <v>9</v>
      </c>
    </row>
    <row r="302">
      <c r="A302" s="5" t="inlineStr">
        <is>
          <t>2010-09</t>
        </is>
      </c>
      <c r="B302" s="5" t="inlineStr">
        <is>
          <t>United Kingdom</t>
        </is>
      </c>
      <c r="C302" s="5" t="inlineStr">
        <is>
          <t>22086</t>
        </is>
      </c>
      <c r="D302" s="5" t="inlineStr">
        <is>
          <t>PAPER CHAIN KIT 50'S CHRISTMAS</t>
        </is>
      </c>
      <c r="E302" s="7" t="n">
        <v>3067.72</v>
      </c>
      <c r="F302" s="8" t="n">
        <v>1142</v>
      </c>
      <c r="G302" s="8" t="n">
        <v>82</v>
      </c>
      <c r="H302" s="5" t="n">
        <v>2010</v>
      </c>
      <c r="I302" s="5" t="n">
        <v>9</v>
      </c>
    </row>
    <row r="303">
      <c r="A303" s="5" t="inlineStr">
        <is>
          <t>2010-09</t>
        </is>
      </c>
      <c r="B303" s="5" t="inlineStr">
        <is>
          <t>United Kingdom</t>
        </is>
      </c>
      <c r="C303" s="5" t="inlineStr">
        <is>
          <t>22197</t>
        </is>
      </c>
      <c r="D303" s="5" t="inlineStr">
        <is>
          <t>SMALL POPCORN HOLDER</t>
        </is>
      </c>
      <c r="E303" s="7" t="n">
        <v>2117.24</v>
      </c>
      <c r="F303" s="8" t="n">
        <v>2724</v>
      </c>
      <c r="G303" s="8" t="n">
        <v>77</v>
      </c>
      <c r="H303" s="5" t="n">
        <v>2010</v>
      </c>
      <c r="I303" s="5" t="n">
        <v>9</v>
      </c>
    </row>
    <row r="304">
      <c r="A304" s="5" t="inlineStr">
        <is>
          <t>2010-09</t>
        </is>
      </c>
      <c r="B304" s="5" t="inlineStr">
        <is>
          <t>United Kingdom</t>
        </is>
      </c>
      <c r="C304" s="5" t="inlineStr">
        <is>
          <t>22386</t>
        </is>
      </c>
      <c r="D304" s="5" t="inlineStr">
        <is>
          <t>JUMBO BAG PINK POLKADOT</t>
        </is>
      </c>
      <c r="E304" s="7" t="n">
        <v>3817.98</v>
      </c>
      <c r="F304" s="8" t="n">
        <v>2112</v>
      </c>
      <c r="G304" s="8" t="n">
        <v>107</v>
      </c>
      <c r="H304" s="5" t="n">
        <v>2010</v>
      </c>
      <c r="I304" s="5" t="n">
        <v>9</v>
      </c>
    </row>
    <row r="305">
      <c r="A305" s="5" t="inlineStr">
        <is>
          <t>2010-09</t>
        </is>
      </c>
      <c r="B305" s="5" t="inlineStr">
        <is>
          <t>United Kingdom</t>
        </is>
      </c>
      <c r="C305" s="5" t="inlineStr">
        <is>
          <t>22423</t>
        </is>
      </c>
      <c r="D305" s="5" t="inlineStr">
        <is>
          <t>REGENCY CAKESTAND 3 TIER</t>
        </is>
      </c>
      <c r="E305" s="7" t="n">
        <v>20726.72</v>
      </c>
      <c r="F305" s="8" t="n">
        <v>1702</v>
      </c>
      <c r="G305" s="8" t="n">
        <v>216</v>
      </c>
      <c r="H305" s="5" t="n">
        <v>2010</v>
      </c>
      <c r="I305" s="5" t="n">
        <v>9</v>
      </c>
    </row>
    <row r="306">
      <c r="A306" s="5" t="inlineStr">
        <is>
          <t>2010-09</t>
        </is>
      </c>
      <c r="B306" s="5" t="inlineStr">
        <is>
          <t>United Kingdom</t>
        </is>
      </c>
      <c r="C306" s="5" t="inlineStr">
        <is>
          <t>47566</t>
        </is>
      </c>
      <c r="D306" s="5" t="inlineStr">
        <is>
          <t>PARTY BUNTING</t>
        </is>
      </c>
      <c r="E306" s="7" t="n">
        <v>3873.57</v>
      </c>
      <c r="F306" s="8" t="n">
        <v>981</v>
      </c>
      <c r="G306" s="8" t="n">
        <v>41</v>
      </c>
      <c r="H306" s="5" t="n">
        <v>2010</v>
      </c>
      <c r="I306" s="5" t="n">
        <v>9</v>
      </c>
    </row>
    <row r="307">
      <c r="A307" s="5" t="inlineStr">
        <is>
          <t>2010-09</t>
        </is>
      </c>
      <c r="B307" s="5" t="inlineStr">
        <is>
          <t>United Kingdom</t>
        </is>
      </c>
      <c r="C307" s="5" t="inlineStr">
        <is>
          <t>79321</t>
        </is>
      </c>
      <c r="D307" s="5" t="inlineStr">
        <is>
          <t>CHILLI LIGHTS</t>
        </is>
      </c>
      <c r="E307" s="7" t="n">
        <v>2546.42</v>
      </c>
      <c r="F307" s="8" t="n">
        <v>493</v>
      </c>
      <c r="G307" s="8" t="n">
        <v>40</v>
      </c>
      <c r="H307" s="5" t="n">
        <v>2010</v>
      </c>
      <c r="I307" s="5" t="n">
        <v>9</v>
      </c>
    </row>
    <row r="308">
      <c r="A308" s="5" t="inlineStr">
        <is>
          <t>2010-09</t>
        </is>
      </c>
      <c r="B308" s="5" t="inlineStr">
        <is>
          <t>United Kingdom</t>
        </is>
      </c>
      <c r="C308" s="5" t="inlineStr">
        <is>
          <t>84347</t>
        </is>
      </c>
      <c r="D308" s="5" t="inlineStr">
        <is>
          <t>ROTATING SILVER ANGELS T-LIGHT HLDR</t>
        </is>
      </c>
      <c r="E308" s="7" t="n">
        <v>4945.93</v>
      </c>
      <c r="F308" s="8" t="n">
        <v>2638</v>
      </c>
      <c r="G308" s="8" t="n">
        <v>34</v>
      </c>
      <c r="H308" s="5" t="n">
        <v>2010</v>
      </c>
      <c r="I308" s="5" t="n">
        <v>9</v>
      </c>
    </row>
    <row r="309">
      <c r="A309" s="5" t="inlineStr">
        <is>
          <t>2010-09</t>
        </is>
      </c>
      <c r="B309" s="5" t="inlineStr">
        <is>
          <t>United Kingdom</t>
        </is>
      </c>
      <c r="C309" s="5" t="inlineStr">
        <is>
          <t>84879</t>
        </is>
      </c>
      <c r="D309" s="5" t="inlineStr">
        <is>
          <t>ASSORTED COLOUR BIRD ORNAMENT</t>
        </is>
      </c>
      <c r="E309" s="7" t="n">
        <v>6029.07</v>
      </c>
      <c r="F309" s="8" t="n">
        <v>3747</v>
      </c>
      <c r="G309" s="8" t="n">
        <v>114</v>
      </c>
      <c r="H309" s="5" t="n">
        <v>2010</v>
      </c>
      <c r="I309" s="5" t="n">
        <v>9</v>
      </c>
    </row>
    <row r="310">
      <c r="A310" s="5" t="inlineStr">
        <is>
          <t>2010-09</t>
        </is>
      </c>
      <c r="B310" s="5" t="inlineStr">
        <is>
          <t>United Kingdom</t>
        </is>
      </c>
      <c r="C310" s="5" t="inlineStr">
        <is>
          <t>85099B</t>
        </is>
      </c>
      <c r="D310" s="5" t="inlineStr">
        <is>
          <t>JUMBO BAG RED RETROSPOT</t>
        </is>
      </c>
      <c r="E310" s="7" t="n">
        <v>11633.69</v>
      </c>
      <c r="F310" s="8" t="n">
        <v>6653</v>
      </c>
      <c r="G310" s="8" t="n">
        <v>192</v>
      </c>
      <c r="H310" s="5" t="n">
        <v>2010</v>
      </c>
      <c r="I310" s="5" t="n">
        <v>9</v>
      </c>
    </row>
    <row r="311">
      <c r="A311" s="5" t="inlineStr">
        <is>
          <t>2010-09</t>
        </is>
      </c>
      <c r="B311" s="5" t="inlineStr">
        <is>
          <t>United Kingdom</t>
        </is>
      </c>
      <c r="C311" s="5" t="inlineStr">
        <is>
          <t>85123A</t>
        </is>
      </c>
      <c r="D311" s="5" t="inlineStr">
        <is>
          <t>WHITE HANGING HEART T-LIGHT HOLDER</t>
        </is>
      </c>
      <c r="E311" s="7" t="n">
        <v>10043.04</v>
      </c>
      <c r="F311" s="8" t="n">
        <v>3736</v>
      </c>
      <c r="G311" s="8" t="n">
        <v>226</v>
      </c>
      <c r="H311" s="5" t="n">
        <v>2010</v>
      </c>
      <c r="I311" s="5" t="n">
        <v>9</v>
      </c>
    </row>
    <row r="312">
      <c r="A312" s="5" t="inlineStr">
        <is>
          <t>2010-09</t>
        </is>
      </c>
      <c r="B312" s="5" t="inlineStr">
        <is>
          <t>United Kingdom</t>
        </is>
      </c>
      <c r="C312" s="5" t="inlineStr">
        <is>
          <t>ALL OTHER PRODUCTS</t>
        </is>
      </c>
      <c r="D312" s="5" t="inlineStr">
        <is>
          <t>All other products</t>
        </is>
      </c>
      <c r="E312" s="7" t="n">
        <v>653613.34</v>
      </c>
      <c r="F312" s="8" t="n">
        <v>467144</v>
      </c>
      <c r="G312" s="8" t="n">
        <v>1605</v>
      </c>
      <c r="H312" s="5" t="n">
        <v>2010</v>
      </c>
      <c r="I312" s="5" t="n">
        <v>9</v>
      </c>
    </row>
    <row r="313">
      <c r="A313" s="5" t="inlineStr">
        <is>
          <t>2010-10</t>
        </is>
      </c>
      <c r="B313" s="5" t="inlineStr">
        <is>
          <t>Ireland (EIRE)</t>
        </is>
      </c>
      <c r="C313" s="5" t="inlineStr">
        <is>
          <t>20725</t>
        </is>
      </c>
      <c r="D313" s="5" t="inlineStr">
        <is>
          <t>LUNCH BAG RED RETROSPOT</t>
        </is>
      </c>
      <c r="E313" s="7" t="n">
        <v>16.5</v>
      </c>
      <c r="F313" s="8" t="n">
        <v>10</v>
      </c>
      <c r="G313" s="8" t="n">
        <v>1</v>
      </c>
      <c r="H313" s="5" t="n">
        <v>2010</v>
      </c>
      <c r="I313" s="5" t="n">
        <v>10</v>
      </c>
    </row>
    <row r="314">
      <c r="A314" s="5" t="inlineStr">
        <is>
          <t>2010-10</t>
        </is>
      </c>
      <c r="B314" s="5" t="inlineStr">
        <is>
          <t>Ireland (EIRE)</t>
        </is>
      </c>
      <c r="C314" s="5" t="inlineStr">
        <is>
          <t>22086</t>
        </is>
      </c>
      <c r="D314" s="5" t="inlineStr">
        <is>
          <t>PAPER CHAIN KIT 50'S CHRISTMAS</t>
        </is>
      </c>
      <c r="E314" s="7" t="n">
        <v>35.4</v>
      </c>
      <c r="F314" s="8" t="n">
        <v>12</v>
      </c>
      <c r="G314" s="8" t="n">
        <v>1</v>
      </c>
      <c r="H314" s="5" t="n">
        <v>2010</v>
      </c>
      <c r="I314" s="5" t="n">
        <v>10</v>
      </c>
    </row>
    <row r="315">
      <c r="A315" s="5" t="inlineStr">
        <is>
          <t>2010-10</t>
        </is>
      </c>
      <c r="B315" s="5" t="inlineStr">
        <is>
          <t>Ireland (EIRE)</t>
        </is>
      </c>
      <c r="C315" s="5" t="inlineStr">
        <is>
          <t>22197</t>
        </is>
      </c>
      <c r="D315" s="5" t="inlineStr">
        <is>
          <t>SMALL POPCORN HOLDER</t>
        </is>
      </c>
      <c r="E315" s="7" t="n">
        <v>61.2</v>
      </c>
      <c r="F315" s="8" t="n">
        <v>72</v>
      </c>
      <c r="G315" s="8" t="n">
        <v>4</v>
      </c>
      <c r="H315" s="5" t="n">
        <v>2010</v>
      </c>
      <c r="I315" s="5" t="n">
        <v>10</v>
      </c>
    </row>
    <row r="316">
      <c r="A316" s="5" t="inlineStr">
        <is>
          <t>2010-10</t>
        </is>
      </c>
      <c r="B316" s="5" t="inlineStr">
        <is>
          <t>Ireland (EIRE)</t>
        </is>
      </c>
      <c r="C316" s="5" t="inlineStr">
        <is>
          <t>22423</t>
        </is>
      </c>
      <c r="D316" s="5" t="inlineStr">
        <is>
          <t>REGENCY CAKESTAND 3 TIER</t>
        </is>
      </c>
      <c r="E316" s="7" t="n">
        <v>1819.5</v>
      </c>
      <c r="F316" s="8" t="n">
        <v>154</v>
      </c>
      <c r="G316" s="8" t="n">
        <v>17</v>
      </c>
      <c r="H316" s="5" t="n">
        <v>2010</v>
      </c>
      <c r="I316" s="5" t="n">
        <v>10</v>
      </c>
    </row>
    <row r="317">
      <c r="A317" s="5" t="inlineStr">
        <is>
          <t>2010-10</t>
        </is>
      </c>
      <c r="B317" s="5" t="inlineStr">
        <is>
          <t>Ireland (EIRE)</t>
        </is>
      </c>
      <c r="C317" s="5" t="inlineStr">
        <is>
          <t>47566</t>
        </is>
      </c>
      <c r="D317" s="5" t="inlineStr">
        <is>
          <t>PARTY BUNTING</t>
        </is>
      </c>
      <c r="E317" s="7" t="n">
        <v>406.5</v>
      </c>
      <c r="F317" s="8" t="n">
        <v>106</v>
      </c>
      <c r="G317" s="8" t="n">
        <v>3</v>
      </c>
      <c r="H317" s="5" t="n">
        <v>2010</v>
      </c>
      <c r="I317" s="5" t="n">
        <v>10</v>
      </c>
    </row>
    <row r="318">
      <c r="A318" s="5" t="inlineStr">
        <is>
          <t>2010-10</t>
        </is>
      </c>
      <c r="B318" s="5" t="inlineStr">
        <is>
          <t>Ireland (EIRE)</t>
        </is>
      </c>
      <c r="C318" s="5" t="inlineStr">
        <is>
          <t>84347</t>
        </is>
      </c>
      <c r="D318" s="5" t="inlineStr">
        <is>
          <t>ROTATING SILVER ANGELS T-LIGHT HLDR</t>
        </is>
      </c>
      <c r="E318" s="7" t="n">
        <v>91.8</v>
      </c>
      <c r="F318" s="8" t="n">
        <v>36</v>
      </c>
      <c r="G318" s="8" t="n">
        <v>4</v>
      </c>
      <c r="H318" s="5" t="n">
        <v>2010</v>
      </c>
      <c r="I318" s="5" t="n">
        <v>10</v>
      </c>
    </row>
    <row r="319">
      <c r="A319" s="5" t="inlineStr">
        <is>
          <t>2010-10</t>
        </is>
      </c>
      <c r="B319" s="5" t="inlineStr">
        <is>
          <t>Ireland (EIRE)</t>
        </is>
      </c>
      <c r="C319" s="5" t="inlineStr">
        <is>
          <t>84879</t>
        </is>
      </c>
      <c r="D319" s="5" t="inlineStr">
        <is>
          <t>ASSORTED COLOUR BIRD ORNAMENT</t>
        </is>
      </c>
      <c r="E319" s="7" t="n">
        <v>81.12</v>
      </c>
      <c r="F319" s="8" t="n">
        <v>48</v>
      </c>
      <c r="G319" s="8" t="n">
        <v>1</v>
      </c>
      <c r="H319" s="5" t="n">
        <v>2010</v>
      </c>
      <c r="I319" s="5" t="n">
        <v>10</v>
      </c>
    </row>
    <row r="320">
      <c r="A320" s="5" t="inlineStr">
        <is>
          <t>2010-10</t>
        </is>
      </c>
      <c r="B320" s="5" t="inlineStr">
        <is>
          <t>Ireland (EIRE)</t>
        </is>
      </c>
      <c r="C320" s="5" t="inlineStr">
        <is>
          <t>85099B</t>
        </is>
      </c>
      <c r="D320" s="5" t="inlineStr">
        <is>
          <t>JUMBO BAG RED RETROSPOT</t>
        </is>
      </c>
      <c r="E320" s="7" t="n">
        <v>39</v>
      </c>
      <c r="F320" s="8" t="n">
        <v>20</v>
      </c>
      <c r="G320" s="8" t="n">
        <v>2</v>
      </c>
      <c r="H320" s="5" t="n">
        <v>2010</v>
      </c>
      <c r="I320" s="5" t="n">
        <v>10</v>
      </c>
    </row>
    <row r="321">
      <c r="A321" s="5" t="inlineStr">
        <is>
          <t>2010-10</t>
        </is>
      </c>
      <c r="B321" s="5" t="inlineStr">
        <is>
          <t>Ireland (EIRE)</t>
        </is>
      </c>
      <c r="C321" s="5" t="inlineStr">
        <is>
          <t>85123A</t>
        </is>
      </c>
      <c r="D321" s="5" t="inlineStr">
        <is>
          <t>WHITE HANGING HEART T-LIGHT HOLDER</t>
        </is>
      </c>
      <c r="E321" s="7" t="n">
        <v>549.6</v>
      </c>
      <c r="F321" s="8" t="n">
        <v>208</v>
      </c>
      <c r="G321" s="8" t="n">
        <v>6</v>
      </c>
      <c r="H321" s="5" t="n">
        <v>2010</v>
      </c>
      <c r="I321" s="5" t="n">
        <v>10</v>
      </c>
    </row>
    <row r="322">
      <c r="A322" s="5" t="inlineStr">
        <is>
          <t>2010-10</t>
        </is>
      </c>
      <c r="B322" s="5" t="inlineStr">
        <is>
          <t>Ireland (EIRE)</t>
        </is>
      </c>
      <c r="C322" s="5" t="inlineStr">
        <is>
          <t>ALL OTHER PRODUCTS</t>
        </is>
      </c>
      <c r="D322" s="5" t="inlineStr">
        <is>
          <t>All other products</t>
        </is>
      </c>
      <c r="E322" s="7" t="n">
        <v>39145.57</v>
      </c>
      <c r="F322" s="8" t="n">
        <v>19370</v>
      </c>
      <c r="G322" s="8" t="n">
        <v>42</v>
      </c>
      <c r="H322" s="5" t="n">
        <v>2010</v>
      </c>
      <c r="I322" s="5" t="n">
        <v>10</v>
      </c>
    </row>
    <row r="323">
      <c r="A323" s="5" t="inlineStr">
        <is>
          <t>2010-10</t>
        </is>
      </c>
      <c r="B323" s="5" t="inlineStr">
        <is>
          <t>Rest of Europe</t>
        </is>
      </c>
      <c r="C323" s="5" t="inlineStr">
        <is>
          <t>20725</t>
        </is>
      </c>
      <c r="D323" s="5" t="inlineStr">
        <is>
          <t>LUNCH BAG RED RETROSPOT</t>
        </is>
      </c>
      <c r="E323" s="7" t="n">
        <v>132</v>
      </c>
      <c r="F323" s="8" t="n">
        <v>80</v>
      </c>
      <c r="G323" s="8" t="n">
        <v>6</v>
      </c>
      <c r="H323" s="5" t="n">
        <v>2010</v>
      </c>
      <c r="I323" s="5" t="n">
        <v>10</v>
      </c>
    </row>
    <row r="324">
      <c r="A324" s="5" t="inlineStr">
        <is>
          <t>2010-10</t>
        </is>
      </c>
      <c r="B324" s="5" t="inlineStr">
        <is>
          <t>Rest of Europe</t>
        </is>
      </c>
      <c r="C324" s="5" t="inlineStr">
        <is>
          <t>22086</t>
        </is>
      </c>
      <c r="D324" s="5" t="inlineStr">
        <is>
          <t>PAPER CHAIN KIT 50'S CHRISTMAS</t>
        </is>
      </c>
      <c r="E324" s="7" t="n">
        <v>20.65</v>
      </c>
      <c r="F324" s="8" t="n">
        <v>7</v>
      </c>
      <c r="G324" s="8" t="n">
        <v>2</v>
      </c>
      <c r="H324" s="5" t="n">
        <v>2010</v>
      </c>
      <c r="I324" s="5" t="n">
        <v>10</v>
      </c>
    </row>
    <row r="325">
      <c r="A325" s="5" t="inlineStr">
        <is>
          <t>2010-10</t>
        </is>
      </c>
      <c r="B325" s="5" t="inlineStr">
        <is>
          <t>Rest of Europe</t>
        </is>
      </c>
      <c r="C325" s="5" t="inlineStr">
        <is>
          <t>22197</t>
        </is>
      </c>
      <c r="D325" s="5" t="inlineStr">
        <is>
          <t>SMALL POPCORN HOLDER</t>
        </is>
      </c>
      <c r="E325" s="7" t="n">
        <v>82.45</v>
      </c>
      <c r="F325" s="8" t="n">
        <v>97</v>
      </c>
      <c r="G325" s="8" t="n">
        <v>5</v>
      </c>
      <c r="H325" s="5" t="n">
        <v>2010</v>
      </c>
      <c r="I325" s="5" t="n">
        <v>10</v>
      </c>
    </row>
    <row r="326">
      <c r="A326" s="5" t="inlineStr">
        <is>
          <t>2010-10</t>
        </is>
      </c>
      <c r="B326" s="5" t="inlineStr">
        <is>
          <t>Rest of Europe</t>
        </is>
      </c>
      <c r="C326" s="5" t="inlineStr">
        <is>
          <t>22386</t>
        </is>
      </c>
      <c r="D326" s="5" t="inlineStr">
        <is>
          <t>JUMBO BAG PINK POLKADOT</t>
        </is>
      </c>
      <c r="E326" s="7" t="n">
        <v>97.5</v>
      </c>
      <c r="F326" s="8" t="n">
        <v>50</v>
      </c>
      <c r="G326" s="8" t="n">
        <v>3</v>
      </c>
      <c r="H326" s="5" t="n">
        <v>2010</v>
      </c>
      <c r="I326" s="5" t="n">
        <v>10</v>
      </c>
    </row>
    <row r="327">
      <c r="A327" s="5" t="inlineStr">
        <is>
          <t>2010-10</t>
        </is>
      </c>
      <c r="B327" s="5" t="inlineStr">
        <is>
          <t>Rest of Europe</t>
        </is>
      </c>
      <c r="C327" s="5" t="inlineStr">
        <is>
          <t>22423</t>
        </is>
      </c>
      <c r="D327" s="5" t="inlineStr">
        <is>
          <t>REGENCY CAKESTAND 3 TIER</t>
        </is>
      </c>
      <c r="E327" s="7" t="n">
        <v>1420.95</v>
      </c>
      <c r="F327" s="8" t="n">
        <v>125</v>
      </c>
      <c r="G327" s="8" t="n">
        <v>12</v>
      </c>
      <c r="H327" s="5" t="n">
        <v>2010</v>
      </c>
      <c r="I327" s="5" t="n">
        <v>10</v>
      </c>
    </row>
    <row r="328">
      <c r="A328" s="5" t="inlineStr">
        <is>
          <t>2010-10</t>
        </is>
      </c>
      <c r="B328" s="5" t="inlineStr">
        <is>
          <t>Rest of Europe</t>
        </is>
      </c>
      <c r="C328" s="5" t="inlineStr">
        <is>
          <t>47566</t>
        </is>
      </c>
      <c r="D328" s="5" t="inlineStr">
        <is>
          <t>PARTY BUNTING</t>
        </is>
      </c>
      <c r="E328" s="7" t="n">
        <v>345.6</v>
      </c>
      <c r="F328" s="8" t="n">
        <v>84</v>
      </c>
      <c r="G328" s="8" t="n">
        <v>4</v>
      </c>
      <c r="H328" s="5" t="n">
        <v>2010</v>
      </c>
      <c r="I328" s="5" t="n">
        <v>10</v>
      </c>
    </row>
    <row r="329">
      <c r="A329" s="5" t="inlineStr">
        <is>
          <t>2010-10</t>
        </is>
      </c>
      <c r="B329" s="5" t="inlineStr">
        <is>
          <t>Rest of Europe</t>
        </is>
      </c>
      <c r="C329" s="5" t="inlineStr">
        <is>
          <t>79321</t>
        </is>
      </c>
      <c r="D329" s="5" t="inlineStr">
        <is>
          <t>CHILLI LIGHTS</t>
        </is>
      </c>
      <c r="E329" s="7" t="n">
        <v>39.6</v>
      </c>
      <c r="F329" s="8" t="n">
        <v>8</v>
      </c>
      <c r="G329" s="8" t="n">
        <v>2</v>
      </c>
      <c r="H329" s="5" t="n">
        <v>2010</v>
      </c>
      <c r="I329" s="5" t="n">
        <v>10</v>
      </c>
    </row>
    <row r="330">
      <c r="A330" s="5" t="inlineStr">
        <is>
          <t>2010-10</t>
        </is>
      </c>
      <c r="B330" s="5" t="inlineStr">
        <is>
          <t>Rest of Europe</t>
        </is>
      </c>
      <c r="C330" s="5" t="inlineStr">
        <is>
          <t>84347</t>
        </is>
      </c>
      <c r="D330" s="5" t="inlineStr">
        <is>
          <t>ROTATING SILVER ANGELS T-LIGHT HLDR</t>
        </is>
      </c>
      <c r="E330" s="7" t="n">
        <v>153</v>
      </c>
      <c r="F330" s="8" t="n">
        <v>60</v>
      </c>
      <c r="G330" s="8" t="n">
        <v>4</v>
      </c>
      <c r="H330" s="5" t="n">
        <v>2010</v>
      </c>
      <c r="I330" s="5" t="n">
        <v>10</v>
      </c>
    </row>
    <row r="331">
      <c r="A331" s="5" t="inlineStr">
        <is>
          <t>2010-10</t>
        </is>
      </c>
      <c r="B331" s="5" t="inlineStr">
        <is>
          <t>Rest of Europe</t>
        </is>
      </c>
      <c r="C331" s="5" t="inlineStr">
        <is>
          <t>84879</t>
        </is>
      </c>
      <c r="D331" s="5" t="inlineStr">
        <is>
          <t>ASSORTED COLOUR BIRD ORNAMENT</t>
        </is>
      </c>
      <c r="E331" s="7" t="n">
        <v>81.12</v>
      </c>
      <c r="F331" s="8" t="n">
        <v>48</v>
      </c>
      <c r="G331" s="8" t="n">
        <v>4</v>
      </c>
      <c r="H331" s="5" t="n">
        <v>2010</v>
      </c>
      <c r="I331" s="5" t="n">
        <v>10</v>
      </c>
    </row>
    <row r="332">
      <c r="A332" s="5" t="inlineStr">
        <is>
          <t>2010-10</t>
        </is>
      </c>
      <c r="B332" s="5" t="inlineStr">
        <is>
          <t>Rest of Europe</t>
        </is>
      </c>
      <c r="C332" s="5" t="inlineStr">
        <is>
          <t>85099B</t>
        </is>
      </c>
      <c r="D332" s="5" t="inlineStr">
        <is>
          <t>JUMBO BAG RED RETROSPOT</t>
        </is>
      </c>
      <c r="E332" s="7" t="n">
        <v>913.5</v>
      </c>
      <c r="F332" s="8" t="n">
        <v>530</v>
      </c>
      <c r="G332" s="8" t="n">
        <v>12</v>
      </c>
      <c r="H332" s="5" t="n">
        <v>2010</v>
      </c>
      <c r="I332" s="5" t="n">
        <v>10</v>
      </c>
    </row>
    <row r="333">
      <c r="A333" s="5" t="inlineStr">
        <is>
          <t>2010-10</t>
        </is>
      </c>
      <c r="B333" s="5" t="inlineStr">
        <is>
          <t>Rest of Europe</t>
        </is>
      </c>
      <c r="C333" s="5" t="inlineStr">
        <is>
          <t>85123A</t>
        </is>
      </c>
      <c r="D333" s="5" t="inlineStr">
        <is>
          <t>WHITE HANGING HEART T-LIGHT HOLDER</t>
        </is>
      </c>
      <c r="E333" s="7" t="n">
        <v>657.75</v>
      </c>
      <c r="F333" s="8" t="n">
        <v>249</v>
      </c>
      <c r="G333" s="8" t="n">
        <v>7</v>
      </c>
      <c r="H333" s="5" t="n">
        <v>2010</v>
      </c>
      <c r="I333" s="5" t="n">
        <v>10</v>
      </c>
    </row>
    <row r="334">
      <c r="A334" s="5" t="inlineStr">
        <is>
          <t>2010-10</t>
        </is>
      </c>
      <c r="B334" s="5" t="inlineStr">
        <is>
          <t>Rest of Europe</t>
        </is>
      </c>
      <c r="C334" s="5" t="inlineStr">
        <is>
          <t>ALL OTHER PRODUCTS</t>
        </is>
      </c>
      <c r="D334" s="5" t="inlineStr">
        <is>
          <t>All other products</t>
        </is>
      </c>
      <c r="E334" s="7" t="n">
        <v>96557.74000000001</v>
      </c>
      <c r="F334" s="8" t="n">
        <v>67729</v>
      </c>
      <c r="G334" s="8" t="n">
        <v>125</v>
      </c>
      <c r="H334" s="5" t="n">
        <v>2010</v>
      </c>
      <c r="I334" s="5" t="n">
        <v>10</v>
      </c>
    </row>
    <row r="335">
      <c r="A335" s="5" t="inlineStr">
        <is>
          <t>2010-10</t>
        </is>
      </c>
      <c r="B335" s="5" t="inlineStr">
        <is>
          <t>Rest of World</t>
        </is>
      </c>
      <c r="C335" s="5" t="inlineStr">
        <is>
          <t>20725</t>
        </is>
      </c>
      <c r="D335" s="5" t="inlineStr">
        <is>
          <t>LUNCH BAG RED RETROSPOT</t>
        </is>
      </c>
      <c r="E335" s="7" t="n">
        <v>115.5</v>
      </c>
      <c r="F335" s="8" t="n">
        <v>70</v>
      </c>
      <c r="G335" s="8" t="n">
        <v>2</v>
      </c>
      <c r="H335" s="5" t="n">
        <v>2010</v>
      </c>
      <c r="I335" s="5" t="n">
        <v>10</v>
      </c>
    </row>
    <row r="336">
      <c r="A336" s="5" t="inlineStr">
        <is>
          <t>2010-10</t>
        </is>
      </c>
      <c r="B336" s="5" t="inlineStr">
        <is>
          <t>Rest of World</t>
        </is>
      </c>
      <c r="C336" s="5" t="inlineStr">
        <is>
          <t>47566</t>
        </is>
      </c>
      <c r="D336" s="5" t="inlineStr">
        <is>
          <t>PARTY BUNTING</t>
        </is>
      </c>
      <c r="E336" s="7" t="n">
        <v>69.75</v>
      </c>
      <c r="F336" s="8" t="n">
        <v>15</v>
      </c>
      <c r="G336" s="8" t="n">
        <v>2</v>
      </c>
      <c r="H336" s="5" t="n">
        <v>2010</v>
      </c>
      <c r="I336" s="5" t="n">
        <v>10</v>
      </c>
    </row>
    <row r="337">
      <c r="A337" s="5" t="inlineStr">
        <is>
          <t>2010-10</t>
        </is>
      </c>
      <c r="B337" s="5" t="inlineStr">
        <is>
          <t>Rest of World</t>
        </is>
      </c>
      <c r="C337" s="5" t="inlineStr">
        <is>
          <t>85099B</t>
        </is>
      </c>
      <c r="D337" s="5" t="inlineStr">
        <is>
          <t>JUMBO BAG RED RETROSPOT</t>
        </is>
      </c>
      <c r="E337" s="7" t="n">
        <v>19.5</v>
      </c>
      <c r="F337" s="8" t="n">
        <v>10</v>
      </c>
      <c r="G337" s="8" t="n">
        <v>1</v>
      </c>
      <c r="H337" s="5" t="n">
        <v>2010</v>
      </c>
      <c r="I337" s="5" t="n">
        <v>10</v>
      </c>
    </row>
    <row r="338">
      <c r="A338" s="5" t="inlineStr">
        <is>
          <t>2010-10</t>
        </is>
      </c>
      <c r="B338" s="5" t="inlineStr">
        <is>
          <t>Rest of World</t>
        </is>
      </c>
      <c r="C338" s="5" t="inlineStr">
        <is>
          <t>ALL OTHER PRODUCTS</t>
        </is>
      </c>
      <c r="D338" s="5" t="inlineStr">
        <is>
          <t>All other products</t>
        </is>
      </c>
      <c r="E338" s="7" t="n">
        <v>7538.95</v>
      </c>
      <c r="F338" s="8" t="n">
        <v>7354</v>
      </c>
      <c r="G338" s="8" t="n">
        <v>15</v>
      </c>
      <c r="H338" s="5" t="n">
        <v>2010</v>
      </c>
      <c r="I338" s="5" t="n">
        <v>10</v>
      </c>
    </row>
    <row r="339">
      <c r="A339" s="5" t="inlineStr">
        <is>
          <t>2010-10</t>
        </is>
      </c>
      <c r="B339" s="5" t="inlineStr">
        <is>
          <t>United Kingdom</t>
        </is>
      </c>
      <c r="C339" s="5" t="inlineStr">
        <is>
          <t>20725</t>
        </is>
      </c>
      <c r="D339" s="5" t="inlineStr">
        <is>
          <t>LUNCH BAG RED RETROSPOT</t>
        </is>
      </c>
      <c r="E339" s="7" t="n">
        <v>2079.9</v>
      </c>
      <c r="F339" s="8" t="n">
        <v>1089</v>
      </c>
      <c r="G339" s="8" t="n">
        <v>111</v>
      </c>
      <c r="H339" s="5" t="n">
        <v>2010</v>
      </c>
      <c r="I339" s="5" t="n">
        <v>10</v>
      </c>
    </row>
    <row r="340">
      <c r="A340" s="5" t="inlineStr">
        <is>
          <t>2010-10</t>
        </is>
      </c>
      <c r="B340" s="5" t="inlineStr">
        <is>
          <t>United Kingdom</t>
        </is>
      </c>
      <c r="C340" s="5" t="inlineStr">
        <is>
          <t>22086</t>
        </is>
      </c>
      <c r="D340" s="5" t="inlineStr">
        <is>
          <t>PAPER CHAIN KIT 50'S CHRISTMAS</t>
        </is>
      </c>
      <c r="E340" s="7" t="n">
        <v>8380.07</v>
      </c>
      <c r="F340" s="8" t="n">
        <v>2965</v>
      </c>
      <c r="G340" s="8" t="n">
        <v>180</v>
      </c>
      <c r="H340" s="5" t="n">
        <v>2010</v>
      </c>
      <c r="I340" s="5" t="n">
        <v>10</v>
      </c>
    </row>
    <row r="341">
      <c r="A341" s="5" t="inlineStr">
        <is>
          <t>2010-10</t>
        </is>
      </c>
      <c r="B341" s="5" t="inlineStr">
        <is>
          <t>United Kingdom</t>
        </is>
      </c>
      <c r="C341" s="5" t="inlineStr">
        <is>
          <t>22197</t>
        </is>
      </c>
      <c r="D341" s="5" t="inlineStr">
        <is>
          <t>SMALL POPCORN HOLDER</t>
        </is>
      </c>
      <c r="E341" s="7" t="n">
        <v>3773.27</v>
      </c>
      <c r="F341" s="8" t="n">
        <v>4956</v>
      </c>
      <c r="G341" s="8" t="n">
        <v>117</v>
      </c>
      <c r="H341" s="5" t="n">
        <v>2010</v>
      </c>
      <c r="I341" s="5" t="n">
        <v>10</v>
      </c>
    </row>
    <row r="342">
      <c r="A342" s="5" t="inlineStr">
        <is>
          <t>2010-10</t>
        </is>
      </c>
      <c r="B342" s="5" t="inlineStr">
        <is>
          <t>United Kingdom</t>
        </is>
      </c>
      <c r="C342" s="5" t="inlineStr">
        <is>
          <t>22386</t>
        </is>
      </c>
      <c r="D342" s="5" t="inlineStr">
        <is>
          <t>JUMBO BAG PINK POLKADOT</t>
        </is>
      </c>
      <c r="E342" s="7" t="n">
        <v>2755.12</v>
      </c>
      <c r="F342" s="8" t="n">
        <v>1514</v>
      </c>
      <c r="G342" s="8" t="n">
        <v>91</v>
      </c>
      <c r="H342" s="5" t="n">
        <v>2010</v>
      </c>
      <c r="I342" s="5" t="n">
        <v>10</v>
      </c>
    </row>
    <row r="343">
      <c r="A343" s="5" t="inlineStr">
        <is>
          <t>2010-10</t>
        </is>
      </c>
      <c r="B343" s="5" t="inlineStr">
        <is>
          <t>United Kingdom</t>
        </is>
      </c>
      <c r="C343" s="5" t="inlineStr">
        <is>
          <t>22423</t>
        </is>
      </c>
      <c r="D343" s="5" t="inlineStr">
        <is>
          <t>REGENCY CAKESTAND 3 TIER</t>
        </is>
      </c>
      <c r="E343" s="7" t="n">
        <v>20663.56</v>
      </c>
      <c r="F343" s="8" t="n">
        <v>1686</v>
      </c>
      <c r="G343" s="8" t="n">
        <v>237</v>
      </c>
      <c r="H343" s="5" t="n">
        <v>2010</v>
      </c>
      <c r="I343" s="5" t="n">
        <v>10</v>
      </c>
    </row>
    <row r="344">
      <c r="A344" s="5" t="inlineStr">
        <is>
          <t>2010-10</t>
        </is>
      </c>
      <c r="B344" s="5" t="inlineStr">
        <is>
          <t>United Kingdom</t>
        </is>
      </c>
      <c r="C344" s="5" t="inlineStr">
        <is>
          <t>47566</t>
        </is>
      </c>
      <c r="D344" s="5" t="inlineStr">
        <is>
          <t>PARTY BUNTING</t>
        </is>
      </c>
      <c r="E344" s="7" t="n">
        <v>3355.61</v>
      </c>
      <c r="F344" s="8" t="n">
        <v>755</v>
      </c>
      <c r="G344" s="8" t="n">
        <v>91</v>
      </c>
      <c r="H344" s="5" t="n">
        <v>2010</v>
      </c>
      <c r="I344" s="5" t="n">
        <v>10</v>
      </c>
    </row>
    <row r="345">
      <c r="A345" s="5" t="inlineStr">
        <is>
          <t>2010-10</t>
        </is>
      </c>
      <c r="B345" s="5" t="inlineStr">
        <is>
          <t>United Kingdom</t>
        </is>
      </c>
      <c r="C345" s="5" t="inlineStr">
        <is>
          <t>79321</t>
        </is>
      </c>
      <c r="D345" s="5" t="inlineStr">
        <is>
          <t>CHILLI LIGHTS</t>
        </is>
      </c>
      <c r="E345" s="7" t="n">
        <v>5388.29</v>
      </c>
      <c r="F345" s="8" t="n">
        <v>1094</v>
      </c>
      <c r="G345" s="8" t="n">
        <v>71</v>
      </c>
      <c r="H345" s="5" t="n">
        <v>2010</v>
      </c>
      <c r="I345" s="5" t="n">
        <v>10</v>
      </c>
    </row>
    <row r="346">
      <c r="A346" s="5" t="inlineStr">
        <is>
          <t>2010-10</t>
        </is>
      </c>
      <c r="B346" s="5" t="inlineStr">
        <is>
          <t>United Kingdom</t>
        </is>
      </c>
      <c r="C346" s="5" t="inlineStr">
        <is>
          <t>84347</t>
        </is>
      </c>
      <c r="D346" s="5" t="inlineStr">
        <is>
          <t>ROTATING SILVER ANGELS T-LIGHT HLDR</t>
        </is>
      </c>
      <c r="E346" s="7" t="n">
        <v>8660.73</v>
      </c>
      <c r="F346" s="8" t="n">
        <v>4537</v>
      </c>
      <c r="G346" s="8" t="n">
        <v>65</v>
      </c>
      <c r="H346" s="5" t="n">
        <v>2010</v>
      </c>
      <c r="I346" s="5" t="n">
        <v>10</v>
      </c>
    </row>
    <row r="347">
      <c r="A347" s="5" t="inlineStr">
        <is>
          <t>2010-10</t>
        </is>
      </c>
      <c r="B347" s="5" t="inlineStr">
        <is>
          <t>United Kingdom</t>
        </is>
      </c>
      <c r="C347" s="5" t="inlineStr">
        <is>
          <t>84879</t>
        </is>
      </c>
      <c r="D347" s="5" t="inlineStr">
        <is>
          <t>ASSORTED COLOUR BIRD ORNAMENT</t>
        </is>
      </c>
      <c r="E347" s="7" t="n">
        <v>9255.540000000001</v>
      </c>
      <c r="F347" s="8" t="n">
        <v>5890</v>
      </c>
      <c r="G347" s="8" t="n">
        <v>148</v>
      </c>
      <c r="H347" s="5" t="n">
        <v>2010</v>
      </c>
      <c r="I347" s="5" t="n">
        <v>10</v>
      </c>
    </row>
    <row r="348">
      <c r="A348" s="5" t="inlineStr">
        <is>
          <t>2010-10</t>
        </is>
      </c>
      <c r="B348" s="5" t="inlineStr">
        <is>
          <t>United Kingdom</t>
        </is>
      </c>
      <c r="C348" s="5" t="inlineStr">
        <is>
          <t>85099B</t>
        </is>
      </c>
      <c r="D348" s="5" t="inlineStr">
        <is>
          <t>JUMBO BAG RED RETROSPOT</t>
        </is>
      </c>
      <c r="E348" s="7" t="n">
        <v>6854.31</v>
      </c>
      <c r="F348" s="8" t="n">
        <v>3815</v>
      </c>
      <c r="G348" s="8" t="n">
        <v>188</v>
      </c>
      <c r="H348" s="5" t="n">
        <v>2010</v>
      </c>
      <c r="I348" s="5" t="n">
        <v>10</v>
      </c>
    </row>
    <row r="349">
      <c r="A349" s="5" t="inlineStr">
        <is>
          <t>2010-10</t>
        </is>
      </c>
      <c r="B349" s="5" t="inlineStr">
        <is>
          <t>United Kingdom</t>
        </is>
      </c>
      <c r="C349" s="5" t="inlineStr">
        <is>
          <t>85123A</t>
        </is>
      </c>
      <c r="D349" s="5" t="inlineStr">
        <is>
          <t>WHITE HANGING HEART T-LIGHT HOLDER</t>
        </is>
      </c>
      <c r="E349" s="7" t="n">
        <v>11421.57</v>
      </c>
      <c r="F349" s="8" t="n">
        <v>4123</v>
      </c>
      <c r="G349" s="8" t="n">
        <v>280</v>
      </c>
      <c r="H349" s="5" t="n">
        <v>2010</v>
      </c>
      <c r="I349" s="5" t="n">
        <v>10</v>
      </c>
    </row>
    <row r="350">
      <c r="A350" s="5" t="inlineStr">
        <is>
          <t>2010-10</t>
        </is>
      </c>
      <c r="B350" s="5" t="inlineStr">
        <is>
          <t>United Kingdom</t>
        </is>
      </c>
      <c r="C350" s="5" t="inlineStr">
        <is>
          <t>ALL OTHER PRODUCTS</t>
        </is>
      </c>
      <c r="D350" s="5" t="inlineStr">
        <is>
          <t>All other products</t>
        </is>
      </c>
      <c r="E350" s="7" t="n">
        <v>861341.51</v>
      </c>
      <c r="F350" s="8" t="n">
        <v>490530</v>
      </c>
      <c r="G350" s="8" t="n">
        <v>2045</v>
      </c>
      <c r="H350" s="5" t="n">
        <v>2010</v>
      </c>
      <c r="I350" s="5" t="n">
        <v>10</v>
      </c>
    </row>
    <row r="351">
      <c r="A351" s="5" t="inlineStr">
        <is>
          <t>2010-11</t>
        </is>
      </c>
      <c r="B351" s="5" t="inlineStr">
        <is>
          <t>Ireland (EIRE)</t>
        </is>
      </c>
      <c r="C351" s="5" t="inlineStr">
        <is>
          <t>20725</t>
        </is>
      </c>
      <c r="D351" s="5" t="inlineStr">
        <is>
          <t>LUNCH BAG RED RETROSPOT</t>
        </is>
      </c>
      <c r="E351" s="7" t="n">
        <v>145</v>
      </c>
      <c r="F351" s="8" t="n">
        <v>100</v>
      </c>
      <c r="G351" s="8" t="n">
        <v>1</v>
      </c>
      <c r="H351" s="5" t="n">
        <v>2010</v>
      </c>
      <c r="I351" s="5" t="n">
        <v>11</v>
      </c>
    </row>
    <row r="352">
      <c r="A352" s="5" t="inlineStr">
        <is>
          <t>2010-11</t>
        </is>
      </c>
      <c r="B352" s="5" t="inlineStr">
        <is>
          <t>Ireland (EIRE)</t>
        </is>
      </c>
      <c r="C352" s="5" t="inlineStr">
        <is>
          <t>22086</t>
        </is>
      </c>
      <c r="D352" s="5" t="inlineStr">
        <is>
          <t>PAPER CHAIN KIT 50'S CHRISTMAS</t>
        </is>
      </c>
      <c r="E352" s="7" t="n">
        <v>88.5</v>
      </c>
      <c r="F352" s="8" t="n">
        <v>30</v>
      </c>
      <c r="G352" s="8" t="n">
        <v>2</v>
      </c>
      <c r="H352" s="5" t="n">
        <v>2010</v>
      </c>
      <c r="I352" s="5" t="n">
        <v>11</v>
      </c>
    </row>
    <row r="353">
      <c r="A353" s="5" t="inlineStr">
        <is>
          <t>2010-11</t>
        </is>
      </c>
      <c r="B353" s="5" t="inlineStr">
        <is>
          <t>Ireland (EIRE)</t>
        </is>
      </c>
      <c r="C353" s="5" t="inlineStr">
        <is>
          <t>22197</t>
        </is>
      </c>
      <c r="D353" s="5" t="inlineStr">
        <is>
          <t>SMALL POPCORN HOLDER</t>
        </is>
      </c>
      <c r="E353" s="7" t="n">
        <v>153.6</v>
      </c>
      <c r="F353" s="8" t="n">
        <v>196</v>
      </c>
      <c r="G353" s="8" t="n">
        <v>5</v>
      </c>
      <c r="H353" s="5" t="n">
        <v>2010</v>
      </c>
      <c r="I353" s="5" t="n">
        <v>11</v>
      </c>
    </row>
    <row r="354">
      <c r="A354" s="5" t="inlineStr">
        <is>
          <t>2010-11</t>
        </is>
      </c>
      <c r="B354" s="5" t="inlineStr">
        <is>
          <t>Ireland (EIRE)</t>
        </is>
      </c>
      <c r="C354" s="5" t="inlineStr">
        <is>
          <t>22423</t>
        </is>
      </c>
      <c r="D354" s="5" t="inlineStr">
        <is>
          <t>REGENCY CAKESTAND 3 TIER</t>
        </is>
      </c>
      <c r="E354" s="7" t="n">
        <v>732.9</v>
      </c>
      <c r="F354" s="8" t="n">
        <v>62</v>
      </c>
      <c r="G354" s="8" t="n">
        <v>10</v>
      </c>
      <c r="H354" s="5" t="n">
        <v>2010</v>
      </c>
      <c r="I354" s="5" t="n">
        <v>11</v>
      </c>
    </row>
    <row r="355">
      <c r="A355" s="5" t="inlineStr">
        <is>
          <t>2010-11</t>
        </is>
      </c>
      <c r="B355" s="5" t="inlineStr">
        <is>
          <t>Ireland (EIRE)</t>
        </is>
      </c>
      <c r="C355" s="5" t="inlineStr">
        <is>
          <t>47566</t>
        </is>
      </c>
      <c r="D355" s="5" t="inlineStr">
        <is>
          <t>PARTY BUNTING</t>
        </is>
      </c>
      <c r="E355" s="7" t="n">
        <v>139.5</v>
      </c>
      <c r="F355" s="8" t="n">
        <v>30</v>
      </c>
      <c r="G355" s="8" t="n">
        <v>5</v>
      </c>
      <c r="H355" s="5" t="n">
        <v>2010</v>
      </c>
      <c r="I355" s="5" t="n">
        <v>11</v>
      </c>
    </row>
    <row r="356">
      <c r="A356" s="5" t="inlineStr">
        <is>
          <t>2010-11</t>
        </is>
      </c>
      <c r="B356" s="5" t="inlineStr">
        <is>
          <t>Ireland (EIRE)</t>
        </is>
      </c>
      <c r="C356" s="5" t="inlineStr">
        <is>
          <t>84347</t>
        </is>
      </c>
      <c r="D356" s="5" t="inlineStr">
        <is>
          <t>ROTATING SILVER ANGELS T-LIGHT HLDR</t>
        </is>
      </c>
      <c r="E356" s="7" t="n">
        <v>30.6</v>
      </c>
      <c r="F356" s="8" t="n">
        <v>12</v>
      </c>
      <c r="G356" s="8" t="n">
        <v>1</v>
      </c>
      <c r="H356" s="5" t="n">
        <v>2010</v>
      </c>
      <c r="I356" s="5" t="n">
        <v>11</v>
      </c>
    </row>
    <row r="357">
      <c r="A357" s="5" t="inlineStr">
        <is>
          <t>2010-11</t>
        </is>
      </c>
      <c r="B357" s="5" t="inlineStr">
        <is>
          <t>Ireland (EIRE)</t>
        </is>
      </c>
      <c r="C357" s="5" t="inlineStr">
        <is>
          <t>84879</t>
        </is>
      </c>
      <c r="D357" s="5" t="inlineStr">
        <is>
          <t>ASSORTED COLOUR BIRD ORNAMENT</t>
        </is>
      </c>
      <c r="E357" s="7" t="n">
        <v>67.59999999999999</v>
      </c>
      <c r="F357" s="8" t="n">
        <v>40</v>
      </c>
      <c r="G357" s="8" t="n">
        <v>3</v>
      </c>
      <c r="H357" s="5" t="n">
        <v>2010</v>
      </c>
      <c r="I357" s="5" t="n">
        <v>11</v>
      </c>
    </row>
    <row r="358">
      <c r="A358" s="5" t="inlineStr">
        <is>
          <t>2010-11</t>
        </is>
      </c>
      <c r="B358" s="5" t="inlineStr">
        <is>
          <t>Ireland (EIRE)</t>
        </is>
      </c>
      <c r="C358" s="5" t="inlineStr">
        <is>
          <t>85099B</t>
        </is>
      </c>
      <c r="D358" s="5" t="inlineStr">
        <is>
          <t>JUMBO BAG RED RETROSPOT</t>
        </is>
      </c>
      <c r="E358" s="7" t="n">
        <v>19.5</v>
      </c>
      <c r="F358" s="8" t="n">
        <v>10</v>
      </c>
      <c r="G358" s="8" t="n">
        <v>1</v>
      </c>
      <c r="H358" s="5" t="n">
        <v>2010</v>
      </c>
      <c r="I358" s="5" t="n">
        <v>11</v>
      </c>
    </row>
    <row r="359">
      <c r="A359" s="5" t="inlineStr">
        <is>
          <t>2010-11</t>
        </is>
      </c>
      <c r="B359" s="5" t="inlineStr">
        <is>
          <t>Ireland (EIRE)</t>
        </is>
      </c>
      <c r="C359" s="5" t="inlineStr">
        <is>
          <t>85123A</t>
        </is>
      </c>
      <c r="D359" s="5" t="inlineStr">
        <is>
          <t>WHITE HANGING HEART T-LIGHT HOLDER</t>
        </is>
      </c>
      <c r="E359" s="7" t="n">
        <v>161.25</v>
      </c>
      <c r="F359" s="8" t="n">
        <v>59</v>
      </c>
      <c r="G359" s="8" t="n">
        <v>4</v>
      </c>
      <c r="H359" s="5" t="n">
        <v>2010</v>
      </c>
      <c r="I359" s="5" t="n">
        <v>11</v>
      </c>
    </row>
    <row r="360">
      <c r="A360" s="5" t="inlineStr">
        <is>
          <t>2010-11</t>
        </is>
      </c>
      <c r="B360" s="5" t="inlineStr">
        <is>
          <t>Ireland (EIRE)</t>
        </is>
      </c>
      <c r="C360" s="5" t="inlineStr">
        <is>
          <t>ALL OTHER PRODUCTS</t>
        </is>
      </c>
      <c r="D360" s="5" t="inlineStr">
        <is>
          <t>All other products</t>
        </is>
      </c>
      <c r="E360" s="7" t="n">
        <v>28677.86</v>
      </c>
      <c r="F360" s="8" t="n">
        <v>14935</v>
      </c>
      <c r="G360" s="8" t="n">
        <v>39</v>
      </c>
      <c r="H360" s="5" t="n">
        <v>2010</v>
      </c>
      <c r="I360" s="5" t="n">
        <v>11</v>
      </c>
    </row>
    <row r="361">
      <c r="A361" s="5" t="inlineStr">
        <is>
          <t>2010-11</t>
        </is>
      </c>
      <c r="B361" s="5" t="inlineStr">
        <is>
          <t>Rest of Europe</t>
        </is>
      </c>
      <c r="C361" s="5" t="inlineStr">
        <is>
          <t>20725</t>
        </is>
      </c>
      <c r="D361" s="5" t="inlineStr">
        <is>
          <t>LUNCH BAG RED RETROSPOT</t>
        </is>
      </c>
      <c r="E361" s="7" t="n">
        <v>293.5</v>
      </c>
      <c r="F361" s="8" t="n">
        <v>190</v>
      </c>
      <c r="G361" s="8" t="n">
        <v>8</v>
      </c>
      <c r="H361" s="5" t="n">
        <v>2010</v>
      </c>
      <c r="I361" s="5" t="n">
        <v>11</v>
      </c>
    </row>
    <row r="362">
      <c r="A362" s="5" t="inlineStr">
        <is>
          <t>2010-11</t>
        </is>
      </c>
      <c r="B362" s="5" t="inlineStr">
        <is>
          <t>Rest of Europe</t>
        </is>
      </c>
      <c r="C362" s="5" t="inlineStr">
        <is>
          <t>22086</t>
        </is>
      </c>
      <c r="D362" s="5" t="inlineStr">
        <is>
          <t>PAPER CHAIN KIT 50'S CHRISTMAS</t>
        </is>
      </c>
      <c r="E362" s="7" t="n">
        <v>141.6</v>
      </c>
      <c r="F362" s="8" t="n">
        <v>48</v>
      </c>
      <c r="G362" s="8" t="n">
        <v>2</v>
      </c>
      <c r="H362" s="5" t="n">
        <v>2010</v>
      </c>
      <c r="I362" s="5" t="n">
        <v>11</v>
      </c>
    </row>
    <row r="363">
      <c r="A363" s="5" t="inlineStr">
        <is>
          <t>2010-11</t>
        </is>
      </c>
      <c r="B363" s="5" t="inlineStr">
        <is>
          <t>Rest of Europe</t>
        </is>
      </c>
      <c r="C363" s="5" t="inlineStr">
        <is>
          <t>22197</t>
        </is>
      </c>
      <c r="D363" s="5" t="inlineStr">
        <is>
          <t>SMALL POPCORN HOLDER</t>
        </is>
      </c>
      <c r="E363" s="7" t="n">
        <v>85</v>
      </c>
      <c r="F363" s="8" t="n">
        <v>100</v>
      </c>
      <c r="G363" s="8" t="n">
        <v>5</v>
      </c>
      <c r="H363" s="5" t="n">
        <v>2010</v>
      </c>
      <c r="I363" s="5" t="n">
        <v>11</v>
      </c>
    </row>
    <row r="364">
      <c r="A364" s="5" t="inlineStr">
        <is>
          <t>2010-11</t>
        </is>
      </c>
      <c r="B364" s="5" t="inlineStr">
        <is>
          <t>Rest of Europe</t>
        </is>
      </c>
      <c r="C364" s="5" t="inlineStr">
        <is>
          <t>22386</t>
        </is>
      </c>
      <c r="D364" s="5" t="inlineStr">
        <is>
          <t>JUMBO BAG PINK POLKADOT</t>
        </is>
      </c>
      <c r="E364" s="7" t="n">
        <v>97.5</v>
      </c>
      <c r="F364" s="8" t="n">
        <v>50</v>
      </c>
      <c r="G364" s="8" t="n">
        <v>5</v>
      </c>
      <c r="H364" s="5" t="n">
        <v>2010</v>
      </c>
      <c r="I364" s="5" t="n">
        <v>11</v>
      </c>
    </row>
    <row r="365">
      <c r="A365" s="5" t="inlineStr">
        <is>
          <t>2010-11</t>
        </is>
      </c>
      <c r="B365" s="5" t="inlineStr">
        <is>
          <t>Rest of Europe</t>
        </is>
      </c>
      <c r="C365" s="5" t="inlineStr">
        <is>
          <t>22423</t>
        </is>
      </c>
      <c r="D365" s="5" t="inlineStr">
        <is>
          <t>REGENCY CAKESTAND 3 TIER</t>
        </is>
      </c>
      <c r="E365" s="7" t="n">
        <v>2548.65</v>
      </c>
      <c r="F365" s="8" t="n">
        <v>227</v>
      </c>
      <c r="G365" s="8" t="n">
        <v>19</v>
      </c>
      <c r="H365" s="5" t="n">
        <v>2010</v>
      </c>
      <c r="I365" s="5" t="n">
        <v>11</v>
      </c>
    </row>
    <row r="366">
      <c r="A366" s="5" t="inlineStr">
        <is>
          <t>2010-11</t>
        </is>
      </c>
      <c r="B366" s="5" t="inlineStr">
        <is>
          <t>Rest of Europe</t>
        </is>
      </c>
      <c r="C366" s="5" t="inlineStr">
        <is>
          <t>47566</t>
        </is>
      </c>
      <c r="D366" s="5" t="inlineStr">
        <is>
          <t>PARTY BUNTING</t>
        </is>
      </c>
      <c r="E366" s="7" t="n">
        <v>452.55</v>
      </c>
      <c r="F366" s="8" t="n">
        <v>107</v>
      </c>
      <c r="G366" s="8" t="n">
        <v>8</v>
      </c>
      <c r="H366" s="5" t="n">
        <v>2010</v>
      </c>
      <c r="I366" s="5" t="n">
        <v>11</v>
      </c>
    </row>
    <row r="367">
      <c r="A367" s="5" t="inlineStr">
        <is>
          <t>2010-11</t>
        </is>
      </c>
      <c r="B367" s="5" t="inlineStr">
        <is>
          <t>Rest of Europe</t>
        </is>
      </c>
      <c r="C367" s="5" t="inlineStr">
        <is>
          <t>79321</t>
        </is>
      </c>
      <c r="D367" s="5" t="inlineStr">
        <is>
          <t>CHILLI LIGHTS</t>
        </is>
      </c>
      <c r="E367" s="7" t="n">
        <v>19.8</v>
      </c>
      <c r="F367" s="8" t="n">
        <v>4</v>
      </c>
      <c r="G367" s="8" t="n">
        <v>1</v>
      </c>
      <c r="H367" s="5" t="n">
        <v>2010</v>
      </c>
      <c r="I367" s="5" t="n">
        <v>11</v>
      </c>
    </row>
    <row r="368">
      <c r="A368" s="5" t="inlineStr">
        <is>
          <t>2010-11</t>
        </is>
      </c>
      <c r="B368" s="5" t="inlineStr">
        <is>
          <t>Rest of Europe</t>
        </is>
      </c>
      <c r="C368" s="5" t="inlineStr">
        <is>
          <t>84347</t>
        </is>
      </c>
      <c r="D368" s="5" t="inlineStr">
        <is>
          <t>ROTATING SILVER ANGELS T-LIGHT HLDR</t>
        </is>
      </c>
      <c r="E368" s="7" t="n">
        <v>107.1</v>
      </c>
      <c r="F368" s="8" t="n">
        <v>42</v>
      </c>
      <c r="G368" s="8" t="n">
        <v>2</v>
      </c>
      <c r="H368" s="5" t="n">
        <v>2010</v>
      </c>
      <c r="I368" s="5" t="n">
        <v>11</v>
      </c>
    </row>
    <row r="369">
      <c r="A369" s="5" t="inlineStr">
        <is>
          <t>2010-11</t>
        </is>
      </c>
      <c r="B369" s="5" t="inlineStr">
        <is>
          <t>Rest of Europe</t>
        </is>
      </c>
      <c r="C369" s="5" t="inlineStr">
        <is>
          <t>84879</t>
        </is>
      </c>
      <c r="D369" s="5" t="inlineStr">
        <is>
          <t>ASSORTED COLOUR BIRD ORNAMENT</t>
        </is>
      </c>
      <c r="E369" s="7" t="n">
        <v>297.44</v>
      </c>
      <c r="F369" s="8" t="n">
        <v>176</v>
      </c>
      <c r="G369" s="8" t="n">
        <v>7</v>
      </c>
      <c r="H369" s="5" t="n">
        <v>2010</v>
      </c>
      <c r="I369" s="5" t="n">
        <v>11</v>
      </c>
    </row>
    <row r="370">
      <c r="A370" s="5" t="inlineStr">
        <is>
          <t>2010-11</t>
        </is>
      </c>
      <c r="B370" s="5" t="inlineStr">
        <is>
          <t>Rest of Europe</t>
        </is>
      </c>
      <c r="C370" s="5" t="inlineStr">
        <is>
          <t>85099B</t>
        </is>
      </c>
      <c r="D370" s="5" t="inlineStr">
        <is>
          <t>JUMBO BAG RED RETROSPOT</t>
        </is>
      </c>
      <c r="E370" s="7" t="n">
        <v>1094.1</v>
      </c>
      <c r="F370" s="8" t="n">
        <v>638</v>
      </c>
      <c r="G370" s="8" t="n">
        <v>16</v>
      </c>
      <c r="H370" s="5" t="n">
        <v>2010</v>
      </c>
      <c r="I370" s="5" t="n">
        <v>11</v>
      </c>
    </row>
    <row r="371">
      <c r="A371" s="5" t="inlineStr">
        <is>
          <t>2010-11</t>
        </is>
      </c>
      <c r="B371" s="5" t="inlineStr">
        <is>
          <t>Rest of Europe</t>
        </is>
      </c>
      <c r="C371" s="5" t="inlineStr">
        <is>
          <t>85123A</t>
        </is>
      </c>
      <c r="D371" s="5" t="inlineStr">
        <is>
          <t>WHITE HANGING HEART T-LIGHT HOLDER</t>
        </is>
      </c>
      <c r="E371" s="7" t="n">
        <v>1534.7</v>
      </c>
      <c r="F371" s="8" t="n">
        <v>594</v>
      </c>
      <c r="G371" s="8" t="n">
        <v>7</v>
      </c>
      <c r="H371" s="5" t="n">
        <v>2010</v>
      </c>
      <c r="I371" s="5" t="n">
        <v>11</v>
      </c>
    </row>
    <row r="372">
      <c r="A372" s="5" t="inlineStr">
        <is>
          <t>2010-11</t>
        </is>
      </c>
      <c r="B372" s="5" t="inlineStr">
        <is>
          <t>Rest of Europe</t>
        </is>
      </c>
      <c r="C372" s="5" t="inlineStr">
        <is>
          <t>ALL OTHER PRODUCTS</t>
        </is>
      </c>
      <c r="D372" s="5" t="inlineStr">
        <is>
          <t>All other products</t>
        </is>
      </c>
      <c r="E372" s="7" t="n">
        <v>123824.51</v>
      </c>
      <c r="F372" s="8" t="n">
        <v>70645</v>
      </c>
      <c r="G372" s="8" t="n">
        <v>156</v>
      </c>
      <c r="H372" s="5" t="n">
        <v>2010</v>
      </c>
      <c r="I372" s="5" t="n">
        <v>11</v>
      </c>
    </row>
    <row r="373">
      <c r="A373" s="5" t="inlineStr">
        <is>
          <t>2010-11</t>
        </is>
      </c>
      <c r="B373" s="5" t="inlineStr">
        <is>
          <t>Rest of World</t>
        </is>
      </c>
      <c r="C373" s="5" t="inlineStr">
        <is>
          <t>20725</t>
        </is>
      </c>
      <c r="D373" s="5" t="inlineStr">
        <is>
          <t>LUNCH BAG RED RETROSPOT</t>
        </is>
      </c>
      <c r="E373" s="7" t="n">
        <v>33</v>
      </c>
      <c r="F373" s="8" t="n">
        <v>20</v>
      </c>
      <c r="G373" s="8" t="n">
        <v>1</v>
      </c>
      <c r="H373" s="5" t="n">
        <v>2010</v>
      </c>
      <c r="I373" s="5" t="n">
        <v>11</v>
      </c>
    </row>
    <row r="374">
      <c r="A374" s="5" t="inlineStr">
        <is>
          <t>2010-11</t>
        </is>
      </c>
      <c r="B374" s="5" t="inlineStr">
        <is>
          <t>Rest of World</t>
        </is>
      </c>
      <c r="C374" s="5" t="inlineStr">
        <is>
          <t>22086</t>
        </is>
      </c>
      <c r="D374" s="5" t="inlineStr">
        <is>
          <t>PAPER CHAIN KIT 50'S CHRISTMAS</t>
        </is>
      </c>
      <c r="E374" s="7" t="n">
        <v>2.95</v>
      </c>
      <c r="F374" s="8" t="n">
        <v>1</v>
      </c>
      <c r="G374" s="8" t="n">
        <v>1</v>
      </c>
      <c r="H374" s="5" t="n">
        <v>2010</v>
      </c>
      <c r="I374" s="5" t="n">
        <v>11</v>
      </c>
    </row>
    <row r="375">
      <c r="A375" s="5" t="inlineStr">
        <is>
          <t>2010-11</t>
        </is>
      </c>
      <c r="B375" s="5" t="inlineStr">
        <is>
          <t>Rest of World</t>
        </is>
      </c>
      <c r="C375" s="5" t="inlineStr">
        <is>
          <t>22423</t>
        </is>
      </c>
      <c r="D375" s="5" t="inlineStr">
        <is>
          <t>REGENCY CAKESTAND 3 TIER</t>
        </is>
      </c>
      <c r="E375" s="7" t="n">
        <v>1003.5</v>
      </c>
      <c r="F375" s="8" t="n">
        <v>90</v>
      </c>
      <c r="G375" s="8" t="n">
        <v>3</v>
      </c>
      <c r="H375" s="5" t="n">
        <v>2010</v>
      </c>
      <c r="I375" s="5" t="n">
        <v>11</v>
      </c>
    </row>
    <row r="376">
      <c r="A376" s="5" t="inlineStr">
        <is>
          <t>2010-11</t>
        </is>
      </c>
      <c r="B376" s="5" t="inlineStr">
        <is>
          <t>Rest of World</t>
        </is>
      </c>
      <c r="C376" s="5" t="inlineStr">
        <is>
          <t>84347</t>
        </is>
      </c>
      <c r="D376" s="5" t="inlineStr">
        <is>
          <t>ROTATING SILVER ANGELS T-LIGHT HLDR</t>
        </is>
      </c>
      <c r="E376" s="7" t="n">
        <v>61.2</v>
      </c>
      <c r="F376" s="8" t="n">
        <v>24</v>
      </c>
      <c r="G376" s="8" t="n">
        <v>1</v>
      </c>
      <c r="H376" s="5" t="n">
        <v>2010</v>
      </c>
      <c r="I376" s="5" t="n">
        <v>11</v>
      </c>
    </row>
    <row r="377">
      <c r="A377" s="5" t="inlineStr">
        <is>
          <t>2010-11</t>
        </is>
      </c>
      <c r="B377" s="5" t="inlineStr">
        <is>
          <t>Rest of World</t>
        </is>
      </c>
      <c r="C377" s="5" t="inlineStr">
        <is>
          <t>85099B</t>
        </is>
      </c>
      <c r="D377" s="5" t="inlineStr">
        <is>
          <t>JUMBO BAG RED RETROSPOT</t>
        </is>
      </c>
      <c r="E377" s="7" t="n">
        <v>19.5</v>
      </c>
      <c r="F377" s="8" t="n">
        <v>10</v>
      </c>
      <c r="G377" s="8" t="n">
        <v>1</v>
      </c>
      <c r="H377" s="5" t="n">
        <v>2010</v>
      </c>
      <c r="I377" s="5" t="n">
        <v>11</v>
      </c>
    </row>
    <row r="378">
      <c r="A378" s="5" t="inlineStr">
        <is>
          <t>2010-11</t>
        </is>
      </c>
      <c r="B378" s="5" t="inlineStr">
        <is>
          <t>Rest of World</t>
        </is>
      </c>
      <c r="C378" s="5" t="inlineStr">
        <is>
          <t>85123A</t>
        </is>
      </c>
      <c r="D378" s="5" t="inlineStr">
        <is>
          <t>WHITE HANGING HEART T-LIGHT HOLDER</t>
        </is>
      </c>
      <c r="E378" s="7" t="n">
        <v>17.7</v>
      </c>
      <c r="F378" s="8" t="n">
        <v>6</v>
      </c>
      <c r="G378" s="8" t="n">
        <v>1</v>
      </c>
      <c r="H378" s="5" t="n">
        <v>2010</v>
      </c>
      <c r="I378" s="5" t="n">
        <v>11</v>
      </c>
    </row>
    <row r="379">
      <c r="A379" s="5" t="inlineStr">
        <is>
          <t>2010-11</t>
        </is>
      </c>
      <c r="B379" s="5" t="inlineStr">
        <is>
          <t>Rest of World</t>
        </is>
      </c>
      <c r="C379" s="5" t="inlineStr">
        <is>
          <t>ALL OTHER PRODUCTS</t>
        </is>
      </c>
      <c r="D379" s="5" t="inlineStr">
        <is>
          <t>All other products</t>
        </is>
      </c>
      <c r="E379" s="7" t="n">
        <v>22090.14</v>
      </c>
      <c r="F379" s="8" t="n">
        <v>15011</v>
      </c>
      <c r="G379" s="8" t="n">
        <v>16</v>
      </c>
      <c r="H379" s="5" t="n">
        <v>2010</v>
      </c>
      <c r="I379" s="5" t="n">
        <v>11</v>
      </c>
    </row>
    <row r="380">
      <c r="A380" s="5" t="inlineStr">
        <is>
          <t>2010-11</t>
        </is>
      </c>
      <c r="B380" s="5" t="inlineStr">
        <is>
          <t>United Kingdom</t>
        </is>
      </c>
      <c r="C380" s="5" t="inlineStr">
        <is>
          <t>20725</t>
        </is>
      </c>
      <c r="D380" s="5" t="inlineStr">
        <is>
          <t>LUNCH BAG RED RETROSPOT</t>
        </is>
      </c>
      <c r="E380" s="7" t="n">
        <v>2678.14</v>
      </c>
      <c r="F380" s="8" t="n">
        <v>1550</v>
      </c>
      <c r="G380" s="8" t="n">
        <v>139</v>
      </c>
      <c r="H380" s="5" t="n">
        <v>2010</v>
      </c>
      <c r="I380" s="5" t="n">
        <v>11</v>
      </c>
    </row>
    <row r="381">
      <c r="A381" s="5" t="inlineStr">
        <is>
          <t>2010-11</t>
        </is>
      </c>
      <c r="B381" s="5" t="inlineStr">
        <is>
          <t>United Kingdom</t>
        </is>
      </c>
      <c r="C381" s="5" t="inlineStr">
        <is>
          <t>22086</t>
        </is>
      </c>
      <c r="D381" s="5" t="inlineStr">
        <is>
          <t>PAPER CHAIN KIT 50'S CHRISTMAS</t>
        </is>
      </c>
      <c r="E381" s="7" t="n">
        <v>28085.16</v>
      </c>
      <c r="F381" s="8" t="n">
        <v>7156</v>
      </c>
      <c r="G381" s="8" t="n">
        <v>324</v>
      </c>
      <c r="H381" s="5" t="n">
        <v>2010</v>
      </c>
      <c r="I381" s="5" t="n">
        <v>11</v>
      </c>
    </row>
    <row r="382">
      <c r="A382" s="5" t="inlineStr">
        <is>
          <t>2010-11</t>
        </is>
      </c>
      <c r="B382" s="5" t="inlineStr">
        <is>
          <t>United Kingdom</t>
        </is>
      </c>
      <c r="C382" s="5" t="inlineStr">
        <is>
          <t>22197</t>
        </is>
      </c>
      <c r="D382" s="5" t="inlineStr">
        <is>
          <t>SMALL POPCORN HOLDER</t>
        </is>
      </c>
      <c r="E382" s="7" t="n">
        <v>10051.22</v>
      </c>
      <c r="F382" s="8" t="n">
        <v>8886</v>
      </c>
      <c r="G382" s="8" t="n">
        <v>201</v>
      </c>
      <c r="H382" s="5" t="n">
        <v>2010</v>
      </c>
      <c r="I382" s="5" t="n">
        <v>11</v>
      </c>
    </row>
    <row r="383">
      <c r="A383" s="5" t="inlineStr">
        <is>
          <t>2010-11</t>
        </is>
      </c>
      <c r="B383" s="5" t="inlineStr">
        <is>
          <t>United Kingdom</t>
        </is>
      </c>
      <c r="C383" s="5" t="inlineStr">
        <is>
          <t>22386</t>
        </is>
      </c>
      <c r="D383" s="5" t="inlineStr">
        <is>
          <t>JUMBO BAG PINK POLKADOT</t>
        </is>
      </c>
      <c r="E383" s="7" t="n">
        <v>4547.84</v>
      </c>
      <c r="F383" s="8" t="n">
        <v>2080</v>
      </c>
      <c r="G383" s="8" t="n">
        <v>116</v>
      </c>
      <c r="H383" s="5" t="n">
        <v>2010</v>
      </c>
      <c r="I383" s="5" t="n">
        <v>11</v>
      </c>
    </row>
    <row r="384">
      <c r="A384" s="5" t="inlineStr">
        <is>
          <t>2010-11</t>
        </is>
      </c>
      <c r="B384" s="5" t="inlineStr">
        <is>
          <t>United Kingdom</t>
        </is>
      </c>
      <c r="C384" s="5" t="inlineStr">
        <is>
          <t>22423</t>
        </is>
      </c>
      <c r="D384" s="5" t="inlineStr">
        <is>
          <t>REGENCY CAKESTAND 3 TIER</t>
        </is>
      </c>
      <c r="E384" s="7" t="n">
        <v>23751.53</v>
      </c>
      <c r="F384" s="8" t="n">
        <v>1822</v>
      </c>
      <c r="G384" s="8" t="n">
        <v>251</v>
      </c>
      <c r="H384" s="5" t="n">
        <v>2010</v>
      </c>
      <c r="I384" s="5" t="n">
        <v>11</v>
      </c>
    </row>
    <row r="385">
      <c r="A385" s="5" t="inlineStr">
        <is>
          <t>2010-11</t>
        </is>
      </c>
      <c r="B385" s="5" t="inlineStr">
        <is>
          <t>United Kingdom</t>
        </is>
      </c>
      <c r="C385" s="5" t="inlineStr">
        <is>
          <t>47566</t>
        </is>
      </c>
      <c r="D385" s="5" t="inlineStr">
        <is>
          <t>PARTY BUNTING</t>
        </is>
      </c>
      <c r="E385" s="7" t="n">
        <v>2009.4</v>
      </c>
      <c r="F385" s="8" t="n">
        <v>422</v>
      </c>
      <c r="G385" s="8" t="n">
        <v>74</v>
      </c>
      <c r="H385" s="5" t="n">
        <v>2010</v>
      </c>
      <c r="I385" s="5" t="n">
        <v>11</v>
      </c>
    </row>
    <row r="386">
      <c r="A386" s="5" t="inlineStr">
        <is>
          <t>2010-11</t>
        </is>
      </c>
      <c r="B386" s="5" t="inlineStr">
        <is>
          <t>United Kingdom</t>
        </is>
      </c>
      <c r="C386" s="5" t="inlineStr">
        <is>
          <t>79321</t>
        </is>
      </c>
      <c r="D386" s="5" t="inlineStr">
        <is>
          <t>CHILLI LIGHTS</t>
        </is>
      </c>
      <c r="E386" s="7" t="n">
        <v>7500.38</v>
      </c>
      <c r="F386" s="8" t="n">
        <v>1551</v>
      </c>
      <c r="G386" s="8" t="n">
        <v>115</v>
      </c>
      <c r="H386" s="5" t="n">
        <v>2010</v>
      </c>
      <c r="I386" s="5" t="n">
        <v>11</v>
      </c>
    </row>
    <row r="387">
      <c r="A387" s="5" t="inlineStr">
        <is>
          <t>2010-11</t>
        </is>
      </c>
      <c r="B387" s="5" t="inlineStr">
        <is>
          <t>United Kingdom</t>
        </is>
      </c>
      <c r="C387" s="5" t="inlineStr">
        <is>
          <t>84347</t>
        </is>
      </c>
      <c r="D387" s="5" t="inlineStr">
        <is>
          <t>ROTATING SILVER ANGELS T-LIGHT HLDR</t>
        </is>
      </c>
      <c r="E387" s="7" t="n">
        <v>25491.64</v>
      </c>
      <c r="F387" s="8" t="n">
        <v>12359</v>
      </c>
      <c r="G387" s="8" t="n">
        <v>106</v>
      </c>
      <c r="H387" s="5" t="n">
        <v>2010</v>
      </c>
      <c r="I387" s="5" t="n">
        <v>11</v>
      </c>
    </row>
    <row r="388">
      <c r="A388" s="5" t="inlineStr">
        <is>
          <t>2010-11</t>
        </is>
      </c>
      <c r="B388" s="5" t="inlineStr">
        <is>
          <t>United Kingdom</t>
        </is>
      </c>
      <c r="C388" s="5" t="inlineStr">
        <is>
          <t>84879</t>
        </is>
      </c>
      <c r="D388" s="5" t="inlineStr">
        <is>
          <t>ASSORTED COLOUR BIRD ORNAMENT</t>
        </is>
      </c>
      <c r="E388" s="7" t="n">
        <v>14207.35</v>
      </c>
      <c r="F388" s="8" t="n">
        <v>9039</v>
      </c>
      <c r="G388" s="8" t="n">
        <v>225</v>
      </c>
      <c r="H388" s="5" t="n">
        <v>2010</v>
      </c>
      <c r="I388" s="5" t="n">
        <v>11</v>
      </c>
    </row>
    <row r="389">
      <c r="A389" s="5" t="inlineStr">
        <is>
          <t>2010-11</t>
        </is>
      </c>
      <c r="B389" s="5" t="inlineStr">
        <is>
          <t>United Kingdom</t>
        </is>
      </c>
      <c r="C389" s="5" t="inlineStr">
        <is>
          <t>85099B</t>
        </is>
      </c>
      <c r="D389" s="5" t="inlineStr">
        <is>
          <t>JUMBO BAG RED RETROSPOT</t>
        </is>
      </c>
      <c r="E389" s="7" t="n">
        <v>10291.87</v>
      </c>
      <c r="F389" s="8" t="n">
        <v>5754</v>
      </c>
      <c r="G389" s="8" t="n">
        <v>232</v>
      </c>
      <c r="H389" s="5" t="n">
        <v>2010</v>
      </c>
      <c r="I389" s="5" t="n">
        <v>11</v>
      </c>
    </row>
    <row r="390">
      <c r="A390" s="5" t="inlineStr">
        <is>
          <t>2010-11</t>
        </is>
      </c>
      <c r="B390" s="5" t="inlineStr">
        <is>
          <t>United Kingdom</t>
        </is>
      </c>
      <c r="C390" s="5" t="inlineStr">
        <is>
          <t>85123A</t>
        </is>
      </c>
      <c r="D390" s="5" t="inlineStr">
        <is>
          <t>WHITE HANGING HEART T-LIGHT HOLDER</t>
        </is>
      </c>
      <c r="E390" s="7" t="n">
        <v>15847.5</v>
      </c>
      <c r="F390" s="8" t="n">
        <v>5870</v>
      </c>
      <c r="G390" s="8" t="n">
        <v>377</v>
      </c>
      <c r="H390" s="5" t="n">
        <v>2010</v>
      </c>
      <c r="I390" s="5" t="n">
        <v>11</v>
      </c>
    </row>
    <row r="391">
      <c r="A391" s="5" t="inlineStr">
        <is>
          <t>2010-11</t>
        </is>
      </c>
      <c r="B391" s="5" t="inlineStr">
        <is>
          <t>United Kingdom</t>
        </is>
      </c>
      <c r="C391" s="5" t="inlineStr">
        <is>
          <t>ALL OTHER PRODUCTS</t>
        </is>
      </c>
      <c r="D391" s="5" t="inlineStr">
        <is>
          <t>All other products</t>
        </is>
      </c>
      <c r="E391" s="7" t="n">
        <v>1101298</v>
      </c>
      <c r="F391" s="8" t="n">
        <v>564317</v>
      </c>
      <c r="G391" s="8" t="n">
        <v>2482</v>
      </c>
      <c r="H391" s="5" t="n">
        <v>2010</v>
      </c>
      <c r="I391" s="5" t="n">
        <v>11</v>
      </c>
    </row>
    <row r="392">
      <c r="A392" s="5" t="inlineStr">
        <is>
          <t>2010-12</t>
        </is>
      </c>
      <c r="B392" s="5" t="inlineStr">
        <is>
          <t>Ireland (EIRE)</t>
        </is>
      </c>
      <c r="C392" s="5" t="inlineStr">
        <is>
          <t>20725</t>
        </is>
      </c>
      <c r="D392" s="5" t="inlineStr">
        <is>
          <t>LUNCH BAG RED RETROSPOT</t>
        </is>
      </c>
      <c r="E392" s="7" t="n">
        <v>16.5</v>
      </c>
      <c r="F392" s="8" t="n">
        <v>10</v>
      </c>
      <c r="G392" s="8" t="n">
        <v>1</v>
      </c>
      <c r="H392" s="5" t="n">
        <v>2010</v>
      </c>
      <c r="I392" s="5" t="n">
        <v>12</v>
      </c>
    </row>
    <row r="393">
      <c r="A393" s="5" t="inlineStr">
        <is>
          <t>2010-12</t>
        </is>
      </c>
      <c r="B393" s="5" t="inlineStr">
        <is>
          <t>Ireland (EIRE)</t>
        </is>
      </c>
      <c r="C393" s="5" t="inlineStr">
        <is>
          <t>22086</t>
        </is>
      </c>
      <c r="D393" s="5" t="inlineStr">
        <is>
          <t>PAPER CHAIN KIT 50'S CHRISTMAS</t>
        </is>
      </c>
      <c r="E393" s="7" t="n">
        <v>17.7</v>
      </c>
      <c r="F393" s="8" t="n">
        <v>6</v>
      </c>
      <c r="G393" s="8" t="n">
        <v>1</v>
      </c>
      <c r="H393" s="5" t="n">
        <v>2010</v>
      </c>
      <c r="I393" s="5" t="n">
        <v>12</v>
      </c>
    </row>
    <row r="394">
      <c r="A394" s="5" t="inlineStr">
        <is>
          <t>2010-12</t>
        </is>
      </c>
      <c r="B394" s="5" t="inlineStr">
        <is>
          <t>Ireland (EIRE)</t>
        </is>
      </c>
      <c r="C394" s="5" t="inlineStr">
        <is>
          <t>22197</t>
        </is>
      </c>
      <c r="D394" s="5" t="inlineStr">
        <is>
          <t>SMALL POPCORN HOLDER</t>
        </is>
      </c>
      <c r="E394" s="7" t="n">
        <v>51</v>
      </c>
      <c r="F394" s="8" t="n">
        <v>60</v>
      </c>
      <c r="G394" s="8" t="n">
        <v>2</v>
      </c>
      <c r="H394" s="5" t="n">
        <v>2010</v>
      </c>
      <c r="I394" s="5" t="n">
        <v>12</v>
      </c>
    </row>
    <row r="395">
      <c r="A395" s="5" t="inlineStr">
        <is>
          <t>2010-12</t>
        </is>
      </c>
      <c r="B395" s="5" t="inlineStr">
        <is>
          <t>Ireland (EIRE)</t>
        </is>
      </c>
      <c r="C395" s="5" t="inlineStr">
        <is>
          <t>22423</t>
        </is>
      </c>
      <c r="D395" s="5" t="inlineStr">
        <is>
          <t>REGENCY CAKESTAND 3 TIER</t>
        </is>
      </c>
      <c r="E395" s="7" t="n">
        <v>532.2</v>
      </c>
      <c r="F395" s="8" t="n">
        <v>44</v>
      </c>
      <c r="G395" s="8" t="n">
        <v>6</v>
      </c>
      <c r="H395" s="5" t="n">
        <v>2010</v>
      </c>
      <c r="I395" s="5" t="n">
        <v>12</v>
      </c>
    </row>
    <row r="396">
      <c r="A396" s="5" t="inlineStr">
        <is>
          <t>2010-12</t>
        </is>
      </c>
      <c r="B396" s="5" t="inlineStr">
        <is>
          <t>Ireland (EIRE)</t>
        </is>
      </c>
      <c r="C396" s="5" t="inlineStr">
        <is>
          <t>79321</t>
        </is>
      </c>
      <c r="D396" s="5" t="inlineStr">
        <is>
          <t>CHILLI LIGHTS</t>
        </is>
      </c>
      <c r="E396" s="7" t="n">
        <v>19.8</v>
      </c>
      <c r="F396" s="8" t="n">
        <v>4</v>
      </c>
      <c r="G396" s="8" t="n">
        <v>1</v>
      </c>
      <c r="H396" s="5" t="n">
        <v>2010</v>
      </c>
      <c r="I396" s="5" t="n">
        <v>12</v>
      </c>
    </row>
    <row r="397">
      <c r="A397" s="5" t="inlineStr">
        <is>
          <t>2010-12</t>
        </is>
      </c>
      <c r="B397" s="5" t="inlineStr">
        <is>
          <t>Ireland (EIRE)</t>
        </is>
      </c>
      <c r="C397" s="5" t="inlineStr">
        <is>
          <t>85099B</t>
        </is>
      </c>
      <c r="D397" s="5" t="inlineStr">
        <is>
          <t>JUMBO BAG RED RETROSPOT</t>
        </is>
      </c>
      <c r="E397" s="7" t="n">
        <v>19.5</v>
      </c>
      <c r="F397" s="8" t="n">
        <v>10</v>
      </c>
      <c r="G397" s="8" t="n">
        <v>1</v>
      </c>
      <c r="H397" s="5" t="n">
        <v>2010</v>
      </c>
      <c r="I397" s="5" t="n">
        <v>12</v>
      </c>
    </row>
    <row r="398">
      <c r="A398" s="5" t="inlineStr">
        <is>
          <t>2010-12</t>
        </is>
      </c>
      <c r="B398" s="5" t="inlineStr">
        <is>
          <t>Ireland (EIRE)</t>
        </is>
      </c>
      <c r="C398" s="5" t="inlineStr">
        <is>
          <t>85123A</t>
        </is>
      </c>
      <c r="D398" s="5" t="inlineStr">
        <is>
          <t>WHITE HANGING HEART T-LIGHT HOLDER</t>
        </is>
      </c>
      <c r="E398" s="7" t="n">
        <v>141.6</v>
      </c>
      <c r="F398" s="8" t="n">
        <v>48</v>
      </c>
      <c r="G398" s="8" t="n">
        <v>2</v>
      </c>
      <c r="H398" s="5" t="n">
        <v>2010</v>
      </c>
      <c r="I398" s="5" t="n">
        <v>12</v>
      </c>
    </row>
    <row r="399">
      <c r="A399" s="5" t="inlineStr">
        <is>
          <t>2010-12</t>
        </is>
      </c>
      <c r="B399" s="5" t="inlineStr">
        <is>
          <t>Ireland (EIRE)</t>
        </is>
      </c>
      <c r="C399" s="5" t="inlineStr">
        <is>
          <t>ALL OTHER PRODUCTS</t>
        </is>
      </c>
      <c r="D399" s="5" t="inlineStr">
        <is>
          <t>All other products</t>
        </is>
      </c>
      <c r="E399" s="7" t="n">
        <v>8884.959999999999</v>
      </c>
      <c r="F399" s="8" t="n">
        <v>5581</v>
      </c>
      <c r="G399" s="8" t="n">
        <v>17</v>
      </c>
      <c r="H399" s="5" t="n">
        <v>2010</v>
      </c>
      <c r="I399" s="5" t="n">
        <v>12</v>
      </c>
    </row>
    <row r="400">
      <c r="A400" s="5" t="inlineStr">
        <is>
          <t>2010-12</t>
        </is>
      </c>
      <c r="B400" s="5" t="inlineStr">
        <is>
          <t>Rest of Europe</t>
        </is>
      </c>
      <c r="C400" s="5" t="inlineStr">
        <is>
          <t>20725</t>
        </is>
      </c>
      <c r="D400" s="5" t="inlineStr">
        <is>
          <t>LUNCH BAG RED RETROSPOT</t>
        </is>
      </c>
      <c r="E400" s="7" t="n">
        <v>214.5</v>
      </c>
      <c r="F400" s="8" t="n">
        <v>130</v>
      </c>
      <c r="G400" s="8" t="n">
        <v>7</v>
      </c>
      <c r="H400" s="5" t="n">
        <v>2010</v>
      </c>
      <c r="I400" s="5" t="n">
        <v>12</v>
      </c>
    </row>
    <row r="401">
      <c r="A401" s="5" t="inlineStr">
        <is>
          <t>2010-12</t>
        </is>
      </c>
      <c r="B401" s="5" t="inlineStr">
        <is>
          <t>Rest of Europe</t>
        </is>
      </c>
      <c r="C401" s="5" t="inlineStr">
        <is>
          <t>22086</t>
        </is>
      </c>
      <c r="D401" s="5" t="inlineStr">
        <is>
          <t>PAPER CHAIN KIT 50'S CHRISTMAS</t>
        </is>
      </c>
      <c r="E401" s="7" t="n">
        <v>17.7</v>
      </c>
      <c r="F401" s="8" t="n">
        <v>6</v>
      </c>
      <c r="G401" s="8" t="n">
        <v>1</v>
      </c>
      <c r="H401" s="5" t="n">
        <v>2010</v>
      </c>
      <c r="I401" s="5" t="n">
        <v>12</v>
      </c>
    </row>
    <row r="402">
      <c r="A402" s="5" t="inlineStr">
        <is>
          <t>2010-12</t>
        </is>
      </c>
      <c r="B402" s="5" t="inlineStr">
        <is>
          <t>Rest of Europe</t>
        </is>
      </c>
      <c r="C402" s="5" t="inlineStr">
        <is>
          <t>22197</t>
        </is>
      </c>
      <c r="D402" s="5" t="inlineStr">
        <is>
          <t>SMALL POPCORN HOLDER</t>
        </is>
      </c>
      <c r="E402" s="7" t="n">
        <v>173.4</v>
      </c>
      <c r="F402" s="8" t="n">
        <v>204</v>
      </c>
      <c r="G402" s="8" t="n">
        <v>5</v>
      </c>
      <c r="H402" s="5" t="n">
        <v>2010</v>
      </c>
      <c r="I402" s="5" t="n">
        <v>12</v>
      </c>
    </row>
    <row r="403">
      <c r="A403" s="5" t="inlineStr">
        <is>
          <t>2010-12</t>
        </is>
      </c>
      <c r="B403" s="5" t="inlineStr">
        <is>
          <t>Rest of Europe</t>
        </is>
      </c>
      <c r="C403" s="5" t="inlineStr">
        <is>
          <t>22386</t>
        </is>
      </c>
      <c r="D403" s="5" t="inlineStr">
        <is>
          <t>JUMBO BAG PINK POLKADOT</t>
        </is>
      </c>
      <c r="E403" s="7" t="n">
        <v>58.5</v>
      </c>
      <c r="F403" s="8" t="n">
        <v>30</v>
      </c>
      <c r="G403" s="8" t="n">
        <v>3</v>
      </c>
      <c r="H403" s="5" t="n">
        <v>2010</v>
      </c>
      <c r="I403" s="5" t="n">
        <v>12</v>
      </c>
    </row>
    <row r="404">
      <c r="A404" s="5" t="inlineStr">
        <is>
          <t>2010-12</t>
        </is>
      </c>
      <c r="B404" s="5" t="inlineStr">
        <is>
          <t>Rest of Europe</t>
        </is>
      </c>
      <c r="C404" s="5" t="inlineStr">
        <is>
          <t>22423</t>
        </is>
      </c>
      <c r="D404" s="5" t="inlineStr">
        <is>
          <t>REGENCY CAKESTAND 3 TIER</t>
        </is>
      </c>
      <c r="E404" s="7" t="n">
        <v>1233</v>
      </c>
      <c r="F404" s="8" t="n">
        <v>108</v>
      </c>
      <c r="G404" s="8" t="n">
        <v>10</v>
      </c>
      <c r="H404" s="5" t="n">
        <v>2010</v>
      </c>
      <c r="I404" s="5" t="n">
        <v>12</v>
      </c>
    </row>
    <row r="405">
      <c r="A405" s="5" t="inlineStr">
        <is>
          <t>2010-12</t>
        </is>
      </c>
      <c r="B405" s="5" t="inlineStr">
        <is>
          <t>Rest of Europe</t>
        </is>
      </c>
      <c r="C405" s="5" t="inlineStr">
        <is>
          <t>47566</t>
        </is>
      </c>
      <c r="D405" s="5" t="inlineStr">
        <is>
          <t>PARTY BUNTING</t>
        </is>
      </c>
      <c r="E405" s="7" t="n">
        <v>32.55</v>
      </c>
      <c r="F405" s="8" t="n">
        <v>7</v>
      </c>
      <c r="G405" s="8" t="n">
        <v>3</v>
      </c>
      <c r="H405" s="5" t="n">
        <v>2010</v>
      </c>
      <c r="I405" s="5" t="n">
        <v>12</v>
      </c>
    </row>
    <row r="406">
      <c r="A406" s="5" t="inlineStr">
        <is>
          <t>2010-12</t>
        </is>
      </c>
      <c r="B406" s="5" t="inlineStr">
        <is>
          <t>Rest of Europe</t>
        </is>
      </c>
      <c r="C406" s="5" t="inlineStr">
        <is>
          <t>84347</t>
        </is>
      </c>
      <c r="D406" s="5" t="inlineStr">
        <is>
          <t>ROTATING SILVER ANGELS T-LIGHT HLDR</t>
        </is>
      </c>
      <c r="E406" s="7" t="n">
        <v>107.1</v>
      </c>
      <c r="F406" s="8" t="n">
        <v>42</v>
      </c>
      <c r="G406" s="8" t="n">
        <v>2</v>
      </c>
      <c r="H406" s="5" t="n">
        <v>2010</v>
      </c>
      <c r="I406" s="5" t="n">
        <v>12</v>
      </c>
    </row>
    <row r="407">
      <c r="A407" s="5" t="inlineStr">
        <is>
          <t>2010-12</t>
        </is>
      </c>
      <c r="B407" s="5" t="inlineStr">
        <is>
          <t>Rest of Europe</t>
        </is>
      </c>
      <c r="C407" s="5" t="inlineStr">
        <is>
          <t>84879</t>
        </is>
      </c>
      <c r="D407" s="5" t="inlineStr">
        <is>
          <t>ASSORTED COLOUR BIRD ORNAMENT</t>
        </is>
      </c>
      <c r="E407" s="7" t="n">
        <v>283.92</v>
      </c>
      <c r="F407" s="8" t="n">
        <v>168</v>
      </c>
      <c r="G407" s="8" t="n">
        <v>4</v>
      </c>
      <c r="H407" s="5" t="n">
        <v>2010</v>
      </c>
      <c r="I407" s="5" t="n">
        <v>12</v>
      </c>
    </row>
    <row r="408">
      <c r="A408" s="5" t="inlineStr">
        <is>
          <t>2010-12</t>
        </is>
      </c>
      <c r="B408" s="5" t="inlineStr">
        <is>
          <t>Rest of Europe</t>
        </is>
      </c>
      <c r="C408" s="5" t="inlineStr">
        <is>
          <t>85099B</t>
        </is>
      </c>
      <c r="D408" s="5" t="inlineStr">
        <is>
          <t>JUMBO BAG RED RETROSPOT</t>
        </is>
      </c>
      <c r="E408" s="7" t="n">
        <v>136.5</v>
      </c>
      <c r="F408" s="8" t="n">
        <v>70</v>
      </c>
      <c r="G408" s="8" t="n">
        <v>5</v>
      </c>
      <c r="H408" s="5" t="n">
        <v>2010</v>
      </c>
      <c r="I408" s="5" t="n">
        <v>12</v>
      </c>
    </row>
    <row r="409">
      <c r="A409" s="5" t="inlineStr">
        <is>
          <t>2010-12</t>
        </is>
      </c>
      <c r="B409" s="5" t="inlineStr">
        <is>
          <t>Rest of Europe</t>
        </is>
      </c>
      <c r="C409" s="5" t="inlineStr">
        <is>
          <t>85123A</t>
        </is>
      </c>
      <c r="D409" s="5" t="inlineStr">
        <is>
          <t>WHITE HANGING HEART T-LIGHT HOLDER</t>
        </is>
      </c>
      <c r="E409" s="7" t="n">
        <v>183.85</v>
      </c>
      <c r="F409" s="8" t="n">
        <v>71</v>
      </c>
      <c r="G409" s="8" t="n">
        <v>3</v>
      </c>
      <c r="H409" s="5" t="n">
        <v>2010</v>
      </c>
      <c r="I409" s="5" t="n">
        <v>12</v>
      </c>
    </row>
    <row r="410">
      <c r="A410" s="5" t="inlineStr">
        <is>
          <t>2010-12</t>
        </is>
      </c>
      <c r="B410" s="5" t="inlineStr">
        <is>
          <t>Rest of Europe</t>
        </is>
      </c>
      <c r="C410" s="5" t="inlineStr">
        <is>
          <t>ALL OTHER PRODUCTS</t>
        </is>
      </c>
      <c r="D410" s="5" t="inlineStr">
        <is>
          <t>All other products</t>
        </is>
      </c>
      <c r="E410" s="7" t="n">
        <v>49405.07</v>
      </c>
      <c r="F410" s="8" t="n">
        <v>33625</v>
      </c>
      <c r="G410" s="8" t="n">
        <v>85</v>
      </c>
      <c r="H410" s="5" t="n">
        <v>2010</v>
      </c>
      <c r="I410" s="5" t="n">
        <v>12</v>
      </c>
    </row>
    <row r="411">
      <c r="A411" s="5" t="inlineStr">
        <is>
          <t>2010-12</t>
        </is>
      </c>
      <c r="B411" s="5" t="inlineStr">
        <is>
          <t>Rest of World</t>
        </is>
      </c>
      <c r="C411" s="5" t="inlineStr">
        <is>
          <t>20725</t>
        </is>
      </c>
      <c r="D411" s="5" t="inlineStr">
        <is>
          <t>LUNCH BAG RED RETROSPOT</t>
        </is>
      </c>
      <c r="E411" s="7" t="n">
        <v>16.5</v>
      </c>
      <c r="F411" s="8" t="n">
        <v>10</v>
      </c>
      <c r="G411" s="8" t="n">
        <v>1</v>
      </c>
      <c r="H411" s="5" t="n">
        <v>2010</v>
      </c>
      <c r="I411" s="5" t="n">
        <v>12</v>
      </c>
    </row>
    <row r="412">
      <c r="A412" s="5" t="inlineStr">
        <is>
          <t>2010-12</t>
        </is>
      </c>
      <c r="B412" s="5" t="inlineStr">
        <is>
          <t>Rest of World</t>
        </is>
      </c>
      <c r="C412" s="5" t="inlineStr">
        <is>
          <t>47566</t>
        </is>
      </c>
      <c r="D412" s="5" t="inlineStr">
        <is>
          <t>PARTY BUNTING</t>
        </is>
      </c>
      <c r="E412" s="7" t="n">
        <v>93</v>
      </c>
      <c r="F412" s="8" t="n">
        <v>20</v>
      </c>
      <c r="G412" s="8" t="n">
        <v>1</v>
      </c>
      <c r="H412" s="5" t="n">
        <v>2010</v>
      </c>
      <c r="I412" s="5" t="n">
        <v>12</v>
      </c>
    </row>
    <row r="413">
      <c r="A413" s="5" t="inlineStr">
        <is>
          <t>2010-12</t>
        </is>
      </c>
      <c r="B413" s="5" t="inlineStr">
        <is>
          <t>Rest of World</t>
        </is>
      </c>
      <c r="C413" s="5" t="inlineStr">
        <is>
          <t>85099B</t>
        </is>
      </c>
      <c r="D413" s="5" t="inlineStr">
        <is>
          <t>JUMBO BAG RED RETROSPOT</t>
        </is>
      </c>
      <c r="E413" s="7" t="n">
        <v>19.5</v>
      </c>
      <c r="F413" s="8" t="n">
        <v>10</v>
      </c>
      <c r="G413" s="8" t="n">
        <v>1</v>
      </c>
      <c r="H413" s="5" t="n">
        <v>2010</v>
      </c>
      <c r="I413" s="5" t="n">
        <v>12</v>
      </c>
    </row>
    <row r="414">
      <c r="A414" s="5" t="inlineStr">
        <is>
          <t>2010-12</t>
        </is>
      </c>
      <c r="B414" s="5" t="inlineStr">
        <is>
          <t>Rest of World</t>
        </is>
      </c>
      <c r="C414" s="5" t="inlineStr">
        <is>
          <t>ALL OTHER PRODUCTS</t>
        </is>
      </c>
      <c r="D414" s="5" t="inlineStr">
        <is>
          <t>All other products</t>
        </is>
      </c>
      <c r="E414" s="7" t="n">
        <v>8747.16</v>
      </c>
      <c r="F414" s="8" t="n">
        <v>4564</v>
      </c>
      <c r="G414" s="8" t="n">
        <v>7</v>
      </c>
      <c r="H414" s="5" t="n">
        <v>2010</v>
      </c>
      <c r="I414" s="5" t="n">
        <v>12</v>
      </c>
    </row>
    <row r="415">
      <c r="A415" s="5" t="inlineStr">
        <is>
          <t>2010-12</t>
        </is>
      </c>
      <c r="B415" s="5" t="inlineStr">
        <is>
          <t>United Kingdom</t>
        </is>
      </c>
      <c r="C415" s="5" t="inlineStr">
        <is>
          <t>20725</t>
        </is>
      </c>
      <c r="D415" s="5" t="inlineStr">
        <is>
          <t>LUNCH BAG RED RETROSPOT</t>
        </is>
      </c>
      <c r="E415" s="7" t="n">
        <v>1198.24</v>
      </c>
      <c r="F415" s="8" t="n">
        <v>581</v>
      </c>
      <c r="G415" s="8" t="n">
        <v>76</v>
      </c>
      <c r="H415" s="5" t="n">
        <v>2010</v>
      </c>
      <c r="I415" s="5" t="n">
        <v>12</v>
      </c>
    </row>
    <row r="416">
      <c r="A416" s="5" t="inlineStr">
        <is>
          <t>2010-12</t>
        </is>
      </c>
      <c r="B416" s="5" t="inlineStr">
        <is>
          <t>United Kingdom</t>
        </is>
      </c>
      <c r="C416" s="5" t="inlineStr">
        <is>
          <t>22086</t>
        </is>
      </c>
      <c r="D416" s="5" t="inlineStr">
        <is>
          <t>PAPER CHAIN KIT 50'S CHRISTMAS</t>
        </is>
      </c>
      <c r="E416" s="7" t="n">
        <v>9172.700000000001</v>
      </c>
      <c r="F416" s="8" t="n">
        <v>2442</v>
      </c>
      <c r="G416" s="8" t="n">
        <v>161</v>
      </c>
      <c r="H416" s="5" t="n">
        <v>2010</v>
      </c>
      <c r="I416" s="5" t="n">
        <v>12</v>
      </c>
    </row>
    <row r="417">
      <c r="A417" s="5" t="inlineStr">
        <is>
          <t>2010-12</t>
        </is>
      </c>
      <c r="B417" s="5" t="inlineStr">
        <is>
          <t>United Kingdom</t>
        </is>
      </c>
      <c r="C417" s="5" t="inlineStr">
        <is>
          <t>22197</t>
        </is>
      </c>
      <c r="D417" s="5" t="inlineStr">
        <is>
          <t>SMALL POPCORN HOLDER</t>
        </is>
      </c>
      <c r="E417" s="7" t="n">
        <v>2405.54</v>
      </c>
      <c r="F417" s="8" t="n">
        <v>2473</v>
      </c>
      <c r="G417" s="8" t="n">
        <v>114</v>
      </c>
      <c r="H417" s="5" t="n">
        <v>2010</v>
      </c>
      <c r="I417" s="5" t="n">
        <v>12</v>
      </c>
    </row>
    <row r="418">
      <c r="A418" s="5" t="inlineStr">
        <is>
          <t>2010-12</t>
        </is>
      </c>
      <c r="B418" s="5" t="inlineStr">
        <is>
          <t>United Kingdom</t>
        </is>
      </c>
      <c r="C418" s="5" t="inlineStr">
        <is>
          <t>22386</t>
        </is>
      </c>
      <c r="D418" s="5" t="inlineStr">
        <is>
          <t>JUMBO BAG PINK POLKADOT</t>
        </is>
      </c>
      <c r="E418" s="7" t="n">
        <v>943.76</v>
      </c>
      <c r="F418" s="8" t="n">
        <v>463</v>
      </c>
      <c r="G418" s="8" t="n">
        <v>53</v>
      </c>
      <c r="H418" s="5" t="n">
        <v>2010</v>
      </c>
      <c r="I418" s="5" t="n">
        <v>12</v>
      </c>
    </row>
    <row r="419">
      <c r="A419" s="5" t="inlineStr">
        <is>
          <t>2010-12</t>
        </is>
      </c>
      <c r="B419" s="5" t="inlineStr">
        <is>
          <t>United Kingdom</t>
        </is>
      </c>
      <c r="C419" s="5" t="inlineStr">
        <is>
          <t>22423</t>
        </is>
      </c>
      <c r="D419" s="5" t="inlineStr">
        <is>
          <t>REGENCY CAKESTAND 3 TIER</t>
        </is>
      </c>
      <c r="E419" s="7" t="n">
        <v>25929.56</v>
      </c>
      <c r="F419" s="8" t="n">
        <v>1925</v>
      </c>
      <c r="G419" s="8" t="n">
        <v>156</v>
      </c>
      <c r="H419" s="5" t="n">
        <v>2010</v>
      </c>
      <c r="I419" s="5" t="n">
        <v>12</v>
      </c>
    </row>
    <row r="420">
      <c r="A420" s="5" t="inlineStr">
        <is>
          <t>2010-12</t>
        </is>
      </c>
      <c r="B420" s="5" t="inlineStr">
        <is>
          <t>United Kingdom</t>
        </is>
      </c>
      <c r="C420" s="5" t="inlineStr">
        <is>
          <t>47566</t>
        </is>
      </c>
      <c r="D420" s="5" t="inlineStr">
        <is>
          <t>PARTY BUNTING</t>
        </is>
      </c>
      <c r="E420" s="7" t="n">
        <v>1082.19</v>
      </c>
      <c r="F420" s="8" t="n">
        <v>210</v>
      </c>
      <c r="G420" s="8" t="n">
        <v>44</v>
      </c>
      <c r="H420" s="5" t="n">
        <v>2010</v>
      </c>
      <c r="I420" s="5" t="n">
        <v>12</v>
      </c>
    </row>
    <row r="421">
      <c r="A421" s="5" t="inlineStr">
        <is>
          <t>2010-12</t>
        </is>
      </c>
      <c r="B421" s="5" t="inlineStr">
        <is>
          <t>United Kingdom</t>
        </is>
      </c>
      <c r="C421" s="5" t="inlineStr">
        <is>
          <t>79321</t>
        </is>
      </c>
      <c r="D421" s="5" t="inlineStr">
        <is>
          <t>CHILLI LIGHTS</t>
        </is>
      </c>
      <c r="E421" s="7" t="n">
        <v>7486.64</v>
      </c>
      <c r="F421" s="8" t="n">
        <v>1586</v>
      </c>
      <c r="G421" s="8" t="n">
        <v>79</v>
      </c>
      <c r="H421" s="5" t="n">
        <v>2010</v>
      </c>
      <c r="I421" s="5" t="n">
        <v>12</v>
      </c>
    </row>
    <row r="422">
      <c r="A422" s="5" t="inlineStr">
        <is>
          <t>2010-12</t>
        </is>
      </c>
      <c r="B422" s="5" t="inlineStr">
        <is>
          <t>United Kingdom</t>
        </is>
      </c>
      <c r="C422" s="5" t="inlineStr">
        <is>
          <t>84347</t>
        </is>
      </c>
      <c r="D422" s="5" t="inlineStr">
        <is>
          <t>ROTATING SILVER ANGELS T-LIGHT HLDR</t>
        </is>
      </c>
      <c r="E422" s="7" t="n">
        <v>6624.91</v>
      </c>
      <c r="F422" s="8" t="n">
        <v>2299</v>
      </c>
      <c r="G422" s="8" t="n">
        <v>72</v>
      </c>
      <c r="H422" s="5" t="n">
        <v>2010</v>
      </c>
      <c r="I422" s="5" t="n">
        <v>12</v>
      </c>
    </row>
    <row r="423">
      <c r="A423" s="5" t="inlineStr">
        <is>
          <t>2010-12</t>
        </is>
      </c>
      <c r="B423" s="5" t="inlineStr">
        <is>
          <t>United Kingdom</t>
        </is>
      </c>
      <c r="C423" s="5" t="inlineStr">
        <is>
          <t>84879</t>
        </is>
      </c>
      <c r="D423" s="5" t="inlineStr">
        <is>
          <t>ASSORTED COLOUR BIRD ORNAMENT</t>
        </is>
      </c>
      <c r="E423" s="7" t="n">
        <v>3688.43</v>
      </c>
      <c r="F423" s="8" t="n">
        <v>2195</v>
      </c>
      <c r="G423" s="8" t="n">
        <v>97</v>
      </c>
      <c r="H423" s="5" t="n">
        <v>2010</v>
      </c>
      <c r="I423" s="5" t="n">
        <v>12</v>
      </c>
    </row>
    <row r="424">
      <c r="A424" s="5" t="inlineStr">
        <is>
          <t>2010-12</t>
        </is>
      </c>
      <c r="B424" s="5" t="inlineStr">
        <is>
          <t>United Kingdom</t>
        </is>
      </c>
      <c r="C424" s="5" t="inlineStr">
        <is>
          <t>85099B</t>
        </is>
      </c>
      <c r="D424" s="5" t="inlineStr">
        <is>
          <t>JUMBO BAG RED RETROSPOT</t>
        </is>
      </c>
      <c r="E424" s="7" t="n">
        <v>3843.65</v>
      </c>
      <c r="F424" s="8" t="n">
        <v>2061</v>
      </c>
      <c r="G424" s="8" t="n">
        <v>112</v>
      </c>
      <c r="H424" s="5" t="n">
        <v>2010</v>
      </c>
      <c r="I424" s="5" t="n">
        <v>12</v>
      </c>
    </row>
    <row r="425">
      <c r="A425" s="5" t="inlineStr">
        <is>
          <t>2010-12</t>
        </is>
      </c>
      <c r="B425" s="5" t="inlineStr">
        <is>
          <t>United Kingdom</t>
        </is>
      </c>
      <c r="C425" s="5" t="inlineStr">
        <is>
          <t>85123A</t>
        </is>
      </c>
      <c r="D425" s="5" t="inlineStr">
        <is>
          <t>WHITE HANGING HEART T-LIGHT HOLDER</t>
        </is>
      </c>
      <c r="E425" s="7" t="n">
        <v>10109.91</v>
      </c>
      <c r="F425" s="8" t="n">
        <v>3633</v>
      </c>
      <c r="G425" s="8" t="n">
        <v>218</v>
      </c>
      <c r="H425" s="5" t="n">
        <v>2010</v>
      </c>
      <c r="I425" s="5" t="n">
        <v>12</v>
      </c>
    </row>
    <row r="426">
      <c r="A426" s="5" t="inlineStr">
        <is>
          <t>2010-12</t>
        </is>
      </c>
      <c r="B426" s="5" t="inlineStr">
        <is>
          <t>United Kingdom</t>
        </is>
      </c>
      <c r="C426" s="5" t="inlineStr">
        <is>
          <t>ALL OTHER PRODUCTS</t>
        </is>
      </c>
      <c r="D426" s="5" t="inlineStr">
        <is>
          <t>All other products</t>
        </is>
      </c>
      <c r="E426" s="7" t="n">
        <v>632747.3199999999</v>
      </c>
      <c r="F426" s="8" t="n">
        <v>292833</v>
      </c>
      <c r="G426" s="8" t="n">
        <v>1426</v>
      </c>
      <c r="H426" s="5" t="n">
        <v>2010</v>
      </c>
      <c r="I426" s="5" t="n">
        <v>12</v>
      </c>
    </row>
    <row r="427">
      <c r="A427" s="5" t="inlineStr">
        <is>
          <t>2011-01</t>
        </is>
      </c>
      <c r="B427" s="5" t="inlineStr">
        <is>
          <t>Ireland (EIRE)</t>
        </is>
      </c>
      <c r="C427" s="5" t="inlineStr">
        <is>
          <t>20725</t>
        </is>
      </c>
      <c r="D427" s="5" t="inlineStr">
        <is>
          <t>LUNCH BAG RED RETROSPOT</t>
        </is>
      </c>
      <c r="E427" s="7" t="n">
        <v>290</v>
      </c>
      <c r="F427" s="8" t="n">
        <v>200</v>
      </c>
      <c r="G427" s="8" t="n">
        <v>1</v>
      </c>
      <c r="H427" s="5" t="n">
        <v>2011</v>
      </c>
      <c r="I427" s="5" t="n">
        <v>1</v>
      </c>
    </row>
    <row r="428">
      <c r="A428" s="5" t="inlineStr">
        <is>
          <t>2011-01</t>
        </is>
      </c>
      <c r="B428" s="5" t="inlineStr">
        <is>
          <t>Ireland (EIRE)</t>
        </is>
      </c>
      <c r="C428" s="5" t="inlineStr">
        <is>
          <t>22423</t>
        </is>
      </c>
      <c r="D428" s="5" t="inlineStr">
        <is>
          <t>REGENCY CAKESTAND 3 TIER</t>
        </is>
      </c>
      <c r="E428" s="7" t="n">
        <v>1752</v>
      </c>
      <c r="F428" s="8" t="n">
        <v>160</v>
      </c>
      <c r="G428" s="8" t="n">
        <v>1</v>
      </c>
      <c r="H428" s="5" t="n">
        <v>2011</v>
      </c>
      <c r="I428" s="5" t="n">
        <v>1</v>
      </c>
    </row>
    <row r="429">
      <c r="A429" s="5" t="inlineStr">
        <is>
          <t>2011-01</t>
        </is>
      </c>
      <c r="B429" s="5" t="inlineStr">
        <is>
          <t>Ireland (EIRE)</t>
        </is>
      </c>
      <c r="C429" s="5" t="inlineStr">
        <is>
          <t>85123A</t>
        </is>
      </c>
      <c r="D429" s="5" t="inlineStr">
        <is>
          <t>WHITE HANGING HEART T-LIGHT HOLDER</t>
        </is>
      </c>
      <c r="E429" s="7" t="n">
        <v>17.7</v>
      </c>
      <c r="F429" s="8" t="n">
        <v>6</v>
      </c>
      <c r="G429" s="8" t="n">
        <v>1</v>
      </c>
      <c r="H429" s="5" t="n">
        <v>2011</v>
      </c>
      <c r="I429" s="5" t="n">
        <v>1</v>
      </c>
    </row>
    <row r="430">
      <c r="A430" s="5" t="inlineStr">
        <is>
          <t>2011-01</t>
        </is>
      </c>
      <c r="B430" s="5" t="inlineStr">
        <is>
          <t>Ireland (EIRE)</t>
        </is>
      </c>
      <c r="C430" s="5" t="inlineStr">
        <is>
          <t>ALL OTHER PRODUCTS</t>
        </is>
      </c>
      <c r="D430" s="5" t="inlineStr">
        <is>
          <t>All other products</t>
        </is>
      </c>
      <c r="E430" s="7" t="n">
        <v>19644.49</v>
      </c>
      <c r="F430" s="8" t="n">
        <v>8424</v>
      </c>
      <c r="G430" s="8" t="n">
        <v>7</v>
      </c>
      <c r="H430" s="5" t="n">
        <v>2011</v>
      </c>
      <c r="I430" s="5" t="n">
        <v>1</v>
      </c>
    </row>
    <row r="431">
      <c r="A431" s="5" t="inlineStr">
        <is>
          <t>2011-01</t>
        </is>
      </c>
      <c r="B431" s="5" t="inlineStr">
        <is>
          <t>Rest of Europe</t>
        </is>
      </c>
      <c r="C431" s="5" t="inlineStr">
        <is>
          <t>20725</t>
        </is>
      </c>
      <c r="D431" s="5" t="inlineStr">
        <is>
          <t>LUNCH BAG RED RETROSPOT</t>
        </is>
      </c>
      <c r="E431" s="7" t="n">
        <v>382.6</v>
      </c>
      <c r="F431" s="8" t="n">
        <v>244</v>
      </c>
      <c r="G431" s="8" t="n">
        <v>12</v>
      </c>
      <c r="H431" s="5" t="n">
        <v>2011</v>
      </c>
      <c r="I431" s="5" t="n">
        <v>1</v>
      </c>
    </row>
    <row r="432">
      <c r="A432" s="5" t="inlineStr">
        <is>
          <t>2011-01</t>
        </is>
      </c>
      <c r="B432" s="5" t="inlineStr">
        <is>
          <t>Rest of Europe</t>
        </is>
      </c>
      <c r="C432" s="5" t="inlineStr">
        <is>
          <t>22197</t>
        </is>
      </c>
      <c r="D432" s="5" t="inlineStr">
        <is>
          <t>SMALL POPCORN HOLDER</t>
        </is>
      </c>
      <c r="E432" s="7" t="n">
        <v>28.9</v>
      </c>
      <c r="F432" s="8" t="n">
        <v>34</v>
      </c>
      <c r="G432" s="8" t="n">
        <v>3</v>
      </c>
      <c r="H432" s="5" t="n">
        <v>2011</v>
      </c>
      <c r="I432" s="5" t="n">
        <v>1</v>
      </c>
    </row>
    <row r="433">
      <c r="A433" s="5" t="inlineStr">
        <is>
          <t>2011-01</t>
        </is>
      </c>
      <c r="B433" s="5" t="inlineStr">
        <is>
          <t>Rest of Europe</t>
        </is>
      </c>
      <c r="C433" s="5" t="inlineStr">
        <is>
          <t>22386</t>
        </is>
      </c>
      <c r="D433" s="5" t="inlineStr">
        <is>
          <t>JUMBO BAG PINK POLKADOT</t>
        </is>
      </c>
      <c r="E433" s="7" t="n">
        <v>39</v>
      </c>
      <c r="F433" s="8" t="n">
        <v>20</v>
      </c>
      <c r="G433" s="8" t="n">
        <v>2</v>
      </c>
      <c r="H433" s="5" t="n">
        <v>2011</v>
      </c>
      <c r="I433" s="5" t="n">
        <v>1</v>
      </c>
    </row>
    <row r="434">
      <c r="A434" s="5" t="inlineStr">
        <is>
          <t>2011-01</t>
        </is>
      </c>
      <c r="B434" s="5" t="inlineStr">
        <is>
          <t>Rest of Europe</t>
        </is>
      </c>
      <c r="C434" s="5" t="inlineStr">
        <is>
          <t>22423</t>
        </is>
      </c>
      <c r="D434" s="5" t="inlineStr">
        <is>
          <t>REGENCY CAKESTAND 3 TIER</t>
        </is>
      </c>
      <c r="E434" s="7" t="n">
        <v>2466</v>
      </c>
      <c r="F434" s="8" t="n">
        <v>216</v>
      </c>
      <c r="G434" s="8" t="n">
        <v>19</v>
      </c>
      <c r="H434" s="5" t="n">
        <v>2011</v>
      </c>
      <c r="I434" s="5" t="n">
        <v>1</v>
      </c>
    </row>
    <row r="435">
      <c r="A435" s="5" t="inlineStr">
        <is>
          <t>2011-01</t>
        </is>
      </c>
      <c r="B435" s="5" t="inlineStr">
        <is>
          <t>Rest of Europe</t>
        </is>
      </c>
      <c r="C435" s="5" t="inlineStr">
        <is>
          <t>47566</t>
        </is>
      </c>
      <c r="D435" s="5" t="inlineStr">
        <is>
          <t>PARTY BUNTING</t>
        </is>
      </c>
      <c r="E435" s="7" t="n">
        <v>116.25</v>
      </c>
      <c r="F435" s="8" t="n">
        <v>25</v>
      </c>
      <c r="G435" s="8" t="n">
        <v>4</v>
      </c>
      <c r="H435" s="5" t="n">
        <v>2011</v>
      </c>
      <c r="I435" s="5" t="n">
        <v>1</v>
      </c>
    </row>
    <row r="436">
      <c r="A436" s="5" t="inlineStr">
        <is>
          <t>2011-01</t>
        </is>
      </c>
      <c r="B436" s="5" t="inlineStr">
        <is>
          <t>Rest of Europe</t>
        </is>
      </c>
      <c r="C436" s="5" t="inlineStr">
        <is>
          <t>79321</t>
        </is>
      </c>
      <c r="D436" s="5" t="inlineStr">
        <is>
          <t>CHILLI LIGHTS</t>
        </is>
      </c>
      <c r="E436" s="7" t="n">
        <v>19.8</v>
      </c>
      <c r="F436" s="8" t="n">
        <v>4</v>
      </c>
      <c r="G436" s="8" t="n">
        <v>1</v>
      </c>
      <c r="H436" s="5" t="n">
        <v>2011</v>
      </c>
      <c r="I436" s="5" t="n">
        <v>1</v>
      </c>
    </row>
    <row r="437">
      <c r="A437" s="5" t="inlineStr">
        <is>
          <t>2011-01</t>
        </is>
      </c>
      <c r="B437" s="5" t="inlineStr">
        <is>
          <t>Rest of Europe</t>
        </is>
      </c>
      <c r="C437" s="5" t="inlineStr">
        <is>
          <t>84879</t>
        </is>
      </c>
      <c r="D437" s="5" t="inlineStr">
        <is>
          <t>ASSORTED COLOUR BIRD ORNAMENT</t>
        </is>
      </c>
      <c r="E437" s="7" t="n">
        <v>340.16</v>
      </c>
      <c r="F437" s="8" t="n">
        <v>224</v>
      </c>
      <c r="G437" s="8" t="n">
        <v>3</v>
      </c>
      <c r="H437" s="5" t="n">
        <v>2011</v>
      </c>
      <c r="I437" s="5" t="n">
        <v>1</v>
      </c>
    </row>
    <row r="438">
      <c r="A438" s="5" t="inlineStr">
        <is>
          <t>2011-01</t>
        </is>
      </c>
      <c r="B438" s="5" t="inlineStr">
        <is>
          <t>Rest of Europe</t>
        </is>
      </c>
      <c r="C438" s="5" t="inlineStr">
        <is>
          <t>85099B</t>
        </is>
      </c>
      <c r="D438" s="5" t="inlineStr">
        <is>
          <t>JUMBO BAG RED RETROSPOT</t>
        </is>
      </c>
      <c r="E438" s="7" t="n">
        <v>670.5</v>
      </c>
      <c r="F438" s="8" t="n">
        <v>390</v>
      </c>
      <c r="G438" s="8" t="n">
        <v>10</v>
      </c>
      <c r="H438" s="5" t="n">
        <v>2011</v>
      </c>
      <c r="I438" s="5" t="n">
        <v>1</v>
      </c>
    </row>
    <row r="439">
      <c r="A439" s="5" t="inlineStr">
        <is>
          <t>2011-01</t>
        </is>
      </c>
      <c r="B439" s="5" t="inlineStr">
        <is>
          <t>Rest of Europe</t>
        </is>
      </c>
      <c r="C439" s="5" t="inlineStr">
        <is>
          <t>85123A</t>
        </is>
      </c>
      <c r="D439" s="5" t="inlineStr">
        <is>
          <t>WHITE HANGING HEART T-LIGHT HOLDER</t>
        </is>
      </c>
      <c r="E439" s="7" t="n">
        <v>670.5</v>
      </c>
      <c r="F439" s="8" t="n">
        <v>262</v>
      </c>
      <c r="G439" s="8" t="n">
        <v>2</v>
      </c>
      <c r="H439" s="5" t="n">
        <v>2011</v>
      </c>
      <c r="I439" s="5" t="n">
        <v>1</v>
      </c>
    </row>
    <row r="440">
      <c r="A440" s="5" t="inlineStr">
        <is>
          <t>2011-01</t>
        </is>
      </c>
      <c r="B440" s="5" t="inlineStr">
        <is>
          <t>Rest of Europe</t>
        </is>
      </c>
      <c r="C440" s="5" t="inlineStr">
        <is>
          <t>ALL OTHER PRODUCTS</t>
        </is>
      </c>
      <c r="D440" s="5" t="inlineStr">
        <is>
          <t>All other products</t>
        </is>
      </c>
      <c r="E440" s="7" t="n">
        <v>82713.42</v>
      </c>
      <c r="F440" s="8" t="n">
        <v>53239</v>
      </c>
      <c r="G440" s="8" t="n">
        <v>94</v>
      </c>
      <c r="H440" s="5" t="n">
        <v>2011</v>
      </c>
      <c r="I440" s="5" t="n">
        <v>1</v>
      </c>
    </row>
    <row r="441">
      <c r="A441" s="5" t="inlineStr">
        <is>
          <t>2011-01</t>
        </is>
      </c>
      <c r="B441" s="5" t="inlineStr">
        <is>
          <t>Rest of World</t>
        </is>
      </c>
      <c r="C441" s="5" t="inlineStr">
        <is>
          <t>20725</t>
        </is>
      </c>
      <c r="D441" s="5" t="inlineStr">
        <is>
          <t>LUNCH BAG RED RETROSPOT</t>
        </is>
      </c>
      <c r="E441" s="7" t="n">
        <v>16.5</v>
      </c>
      <c r="F441" s="8" t="n">
        <v>10</v>
      </c>
      <c r="G441" s="8" t="n">
        <v>1</v>
      </c>
      <c r="H441" s="5" t="n">
        <v>2011</v>
      </c>
      <c r="I441" s="5" t="n">
        <v>1</v>
      </c>
    </row>
    <row r="442">
      <c r="A442" s="5" t="inlineStr">
        <is>
          <t>2011-01</t>
        </is>
      </c>
      <c r="B442" s="5" t="inlineStr">
        <is>
          <t>Rest of World</t>
        </is>
      </c>
      <c r="C442" s="5" t="inlineStr">
        <is>
          <t>22197</t>
        </is>
      </c>
      <c r="D442" s="5" t="inlineStr">
        <is>
          <t>SMALL POPCORN HOLDER</t>
        </is>
      </c>
      <c r="E442" s="7" t="n">
        <v>72</v>
      </c>
      <c r="F442" s="8" t="n">
        <v>100</v>
      </c>
      <c r="G442" s="8" t="n">
        <v>1</v>
      </c>
      <c r="H442" s="5" t="n">
        <v>2011</v>
      </c>
      <c r="I442" s="5" t="n">
        <v>1</v>
      </c>
    </row>
    <row r="443">
      <c r="A443" s="5" t="inlineStr">
        <is>
          <t>2011-01</t>
        </is>
      </c>
      <c r="B443" s="5" t="inlineStr">
        <is>
          <t>Rest of World</t>
        </is>
      </c>
      <c r="C443" s="5" t="inlineStr">
        <is>
          <t>22423</t>
        </is>
      </c>
      <c r="D443" s="5" t="inlineStr">
        <is>
          <t>REGENCY CAKESTAND 3 TIER</t>
        </is>
      </c>
      <c r="E443" s="7" t="n">
        <v>153</v>
      </c>
      <c r="F443" s="8" t="n">
        <v>12</v>
      </c>
      <c r="G443" s="8" t="n">
        <v>1</v>
      </c>
      <c r="H443" s="5" t="n">
        <v>2011</v>
      </c>
      <c r="I443" s="5" t="n">
        <v>1</v>
      </c>
    </row>
    <row r="444">
      <c r="A444" s="5" t="inlineStr">
        <is>
          <t>2011-01</t>
        </is>
      </c>
      <c r="B444" s="5" t="inlineStr">
        <is>
          <t>Rest of World</t>
        </is>
      </c>
      <c r="C444" s="5" t="inlineStr">
        <is>
          <t>47566</t>
        </is>
      </c>
      <c r="D444" s="5" t="inlineStr">
        <is>
          <t>PARTY BUNTING</t>
        </is>
      </c>
      <c r="E444" s="7" t="n">
        <v>139.5</v>
      </c>
      <c r="F444" s="8" t="n">
        <v>30</v>
      </c>
      <c r="G444" s="8" t="n">
        <v>3</v>
      </c>
      <c r="H444" s="5" t="n">
        <v>2011</v>
      </c>
      <c r="I444" s="5" t="n">
        <v>1</v>
      </c>
    </row>
    <row r="445">
      <c r="A445" s="5" t="inlineStr">
        <is>
          <t>2011-01</t>
        </is>
      </c>
      <c r="B445" s="5" t="inlineStr">
        <is>
          <t>Rest of World</t>
        </is>
      </c>
      <c r="C445" s="5" t="inlineStr">
        <is>
          <t>85099B</t>
        </is>
      </c>
      <c r="D445" s="5" t="inlineStr">
        <is>
          <t>JUMBO BAG RED RETROSPOT</t>
        </is>
      </c>
      <c r="E445" s="7" t="n">
        <v>19.5</v>
      </c>
      <c r="F445" s="8" t="n">
        <v>10</v>
      </c>
      <c r="G445" s="8" t="n">
        <v>1</v>
      </c>
      <c r="H445" s="5" t="n">
        <v>2011</v>
      </c>
      <c r="I445" s="5" t="n">
        <v>1</v>
      </c>
    </row>
    <row r="446">
      <c r="A446" s="5" t="inlineStr">
        <is>
          <t>2011-01</t>
        </is>
      </c>
      <c r="B446" s="5" t="inlineStr">
        <is>
          <t>Rest of World</t>
        </is>
      </c>
      <c r="C446" s="5" t="inlineStr">
        <is>
          <t>85123A</t>
        </is>
      </c>
      <c r="D446" s="5" t="inlineStr">
        <is>
          <t>WHITE HANGING HEART T-LIGHT HOLDER</t>
        </is>
      </c>
      <c r="E446" s="7" t="n">
        <v>70.8</v>
      </c>
      <c r="F446" s="8" t="n">
        <v>24</v>
      </c>
      <c r="G446" s="8" t="n">
        <v>2</v>
      </c>
      <c r="H446" s="5" t="n">
        <v>2011</v>
      </c>
      <c r="I446" s="5" t="n">
        <v>1</v>
      </c>
    </row>
    <row r="447">
      <c r="A447" s="5" t="inlineStr">
        <is>
          <t>2011-01</t>
        </is>
      </c>
      <c r="B447" s="5" t="inlineStr">
        <is>
          <t>Rest of World</t>
        </is>
      </c>
      <c r="C447" s="5" t="inlineStr">
        <is>
          <t>ALL OTHER PRODUCTS</t>
        </is>
      </c>
      <c r="D447" s="5" t="inlineStr">
        <is>
          <t>All other products</t>
        </is>
      </c>
      <c r="E447" s="7" t="n">
        <v>14904.16</v>
      </c>
      <c r="F447" s="8" t="n">
        <v>8096</v>
      </c>
      <c r="G447" s="8" t="n">
        <v>13</v>
      </c>
      <c r="H447" s="5" t="n">
        <v>2011</v>
      </c>
      <c r="I447" s="5" t="n">
        <v>1</v>
      </c>
    </row>
    <row r="448">
      <c r="A448" s="5" t="inlineStr">
        <is>
          <t>2011-01</t>
        </is>
      </c>
      <c r="B448" s="5" t="inlineStr">
        <is>
          <t>United Kingdom</t>
        </is>
      </c>
      <c r="C448" s="5" t="inlineStr">
        <is>
          <t>20725</t>
        </is>
      </c>
      <c r="D448" s="5" t="inlineStr">
        <is>
          <t>LUNCH BAG RED RETROSPOT</t>
        </is>
      </c>
      <c r="E448" s="7" t="n">
        <v>1843.15</v>
      </c>
      <c r="F448" s="8" t="n">
        <v>1134</v>
      </c>
      <c r="G448" s="8" t="n">
        <v>73</v>
      </c>
      <c r="H448" s="5" t="n">
        <v>2011</v>
      </c>
      <c r="I448" s="5" t="n">
        <v>1</v>
      </c>
    </row>
    <row r="449">
      <c r="A449" s="5" t="inlineStr">
        <is>
          <t>2011-01</t>
        </is>
      </c>
      <c r="B449" s="5" t="inlineStr">
        <is>
          <t>United Kingdom</t>
        </is>
      </c>
      <c r="C449" s="5" t="inlineStr">
        <is>
          <t>22086</t>
        </is>
      </c>
      <c r="D449" s="5" t="inlineStr">
        <is>
          <t>PAPER CHAIN KIT 50'S CHRISTMAS</t>
        </is>
      </c>
      <c r="E449" s="7" t="n">
        <v>143.32</v>
      </c>
      <c r="F449" s="8" t="n">
        <v>24</v>
      </c>
      <c r="G449" s="8" t="n">
        <v>10</v>
      </c>
      <c r="H449" s="5" t="n">
        <v>2011</v>
      </c>
      <c r="I449" s="5" t="n">
        <v>1</v>
      </c>
    </row>
    <row r="450">
      <c r="A450" s="5" t="inlineStr">
        <is>
          <t>2011-01</t>
        </is>
      </c>
      <c r="B450" s="5" t="inlineStr">
        <is>
          <t>United Kingdom</t>
        </is>
      </c>
      <c r="C450" s="5" t="inlineStr">
        <is>
          <t>22197</t>
        </is>
      </c>
      <c r="D450" s="5" t="inlineStr">
        <is>
          <t>SMALL POPCORN HOLDER</t>
        </is>
      </c>
      <c r="E450" s="7" t="n">
        <v>1394.58</v>
      </c>
      <c r="F450" s="8" t="n">
        <v>1690</v>
      </c>
      <c r="G450" s="8" t="n">
        <v>70</v>
      </c>
      <c r="H450" s="5" t="n">
        <v>2011</v>
      </c>
      <c r="I450" s="5" t="n">
        <v>1</v>
      </c>
    </row>
    <row r="451">
      <c r="A451" s="5" t="inlineStr">
        <is>
          <t>2011-01</t>
        </is>
      </c>
      <c r="B451" s="5" t="inlineStr">
        <is>
          <t>United Kingdom</t>
        </is>
      </c>
      <c r="C451" s="5" t="inlineStr">
        <is>
          <t>22386</t>
        </is>
      </c>
      <c r="D451" s="5" t="inlineStr">
        <is>
          <t>JUMBO BAG PINK POLKADOT</t>
        </is>
      </c>
      <c r="E451" s="7" t="n">
        <v>2173.12</v>
      </c>
      <c r="F451" s="8" t="n">
        <v>1122</v>
      </c>
      <c r="G451" s="8" t="n">
        <v>74</v>
      </c>
      <c r="H451" s="5" t="n">
        <v>2011</v>
      </c>
      <c r="I451" s="5" t="n">
        <v>1</v>
      </c>
    </row>
    <row r="452">
      <c r="A452" s="5" t="inlineStr">
        <is>
          <t>2011-01</t>
        </is>
      </c>
      <c r="B452" s="5" t="inlineStr">
        <is>
          <t>United Kingdom</t>
        </is>
      </c>
      <c r="C452" s="5" t="inlineStr">
        <is>
          <t>22423</t>
        </is>
      </c>
      <c r="D452" s="5" t="inlineStr">
        <is>
          <t>REGENCY CAKESTAND 3 TIER</t>
        </is>
      </c>
      <c r="E452" s="7" t="n">
        <v>8429.6</v>
      </c>
      <c r="F452" s="8" t="n">
        <v>648</v>
      </c>
      <c r="G452" s="8" t="n">
        <v>110</v>
      </c>
      <c r="H452" s="5" t="n">
        <v>2011</v>
      </c>
      <c r="I452" s="5" t="n">
        <v>1</v>
      </c>
    </row>
    <row r="453">
      <c r="A453" s="5" t="inlineStr">
        <is>
          <t>2011-01</t>
        </is>
      </c>
      <c r="B453" s="5" t="inlineStr">
        <is>
          <t>United Kingdom</t>
        </is>
      </c>
      <c r="C453" s="5" t="inlineStr">
        <is>
          <t>23166</t>
        </is>
      </c>
      <c r="D453" s="5" t="inlineStr">
        <is>
          <t>MEDIUM CERAMIC TOP STORAGE JAR</t>
        </is>
      </c>
      <c r="E453" s="7" t="n">
        <v>77183.60000000001</v>
      </c>
      <c r="F453" s="8" t="n">
        <v>74215</v>
      </c>
      <c r="G453" s="8" t="n">
        <v>1</v>
      </c>
      <c r="H453" s="5" t="n">
        <v>2011</v>
      </c>
      <c r="I453" s="5" t="n">
        <v>1</v>
      </c>
    </row>
    <row r="454">
      <c r="A454" s="5" t="inlineStr">
        <is>
          <t>2011-01</t>
        </is>
      </c>
      <c r="B454" s="5" t="inlineStr">
        <is>
          <t>United Kingdom</t>
        </is>
      </c>
      <c r="C454" s="5" t="inlineStr">
        <is>
          <t>47566</t>
        </is>
      </c>
      <c r="D454" s="5" t="inlineStr">
        <is>
          <t>PARTY BUNTING</t>
        </is>
      </c>
      <c r="E454" s="7" t="n">
        <v>2027.96</v>
      </c>
      <c r="F454" s="8" t="n">
        <v>430</v>
      </c>
      <c r="G454" s="8" t="n">
        <v>54</v>
      </c>
      <c r="H454" s="5" t="n">
        <v>2011</v>
      </c>
      <c r="I454" s="5" t="n">
        <v>1</v>
      </c>
    </row>
    <row r="455">
      <c r="A455" s="5" t="inlineStr">
        <is>
          <t>2011-01</t>
        </is>
      </c>
      <c r="B455" s="5" t="inlineStr">
        <is>
          <t>United Kingdom</t>
        </is>
      </c>
      <c r="C455" s="5" t="inlineStr">
        <is>
          <t>79321</t>
        </is>
      </c>
      <c r="D455" s="5" t="inlineStr">
        <is>
          <t>CHILLI LIGHTS</t>
        </is>
      </c>
      <c r="E455" s="7" t="n">
        <v>5871.43</v>
      </c>
      <c r="F455" s="8" t="n">
        <v>1380</v>
      </c>
      <c r="G455" s="8" t="n">
        <v>60</v>
      </c>
      <c r="H455" s="5" t="n">
        <v>2011</v>
      </c>
      <c r="I455" s="5" t="n">
        <v>1</v>
      </c>
    </row>
    <row r="456">
      <c r="A456" s="5" t="inlineStr">
        <is>
          <t>2011-01</t>
        </is>
      </c>
      <c r="B456" s="5" t="inlineStr">
        <is>
          <t>United Kingdom</t>
        </is>
      </c>
      <c r="C456" s="5" t="inlineStr">
        <is>
          <t>84347</t>
        </is>
      </c>
      <c r="D456" s="5" t="inlineStr">
        <is>
          <t>ROTATING SILVER ANGELS T-LIGHT HLDR</t>
        </is>
      </c>
      <c r="E456" s="7" t="n">
        <v>185.58</v>
      </c>
      <c r="F456" s="8" t="n">
        <v>39</v>
      </c>
      <c r="G456" s="8" t="n">
        <v>15</v>
      </c>
      <c r="H456" s="5" t="n">
        <v>2011</v>
      </c>
      <c r="I456" s="5" t="n">
        <v>1</v>
      </c>
    </row>
    <row r="457">
      <c r="A457" s="5" t="inlineStr">
        <is>
          <t>2011-01</t>
        </is>
      </c>
      <c r="B457" s="5" t="inlineStr">
        <is>
          <t>United Kingdom</t>
        </is>
      </c>
      <c r="C457" s="5" t="inlineStr">
        <is>
          <t>84879</t>
        </is>
      </c>
      <c r="D457" s="5" t="inlineStr">
        <is>
          <t>ASSORTED COLOUR BIRD ORNAMENT</t>
        </is>
      </c>
      <c r="E457" s="7" t="n">
        <v>2539.87</v>
      </c>
      <c r="F457" s="8" t="n">
        <v>1523</v>
      </c>
      <c r="G457" s="8" t="n">
        <v>69</v>
      </c>
      <c r="H457" s="5" t="n">
        <v>2011</v>
      </c>
      <c r="I457" s="5" t="n">
        <v>1</v>
      </c>
    </row>
    <row r="458">
      <c r="A458" s="5" t="inlineStr">
        <is>
          <t>2011-01</t>
        </is>
      </c>
      <c r="B458" s="5" t="inlineStr">
        <is>
          <t>United Kingdom</t>
        </is>
      </c>
      <c r="C458" s="5" t="inlineStr">
        <is>
          <t>85099B</t>
        </is>
      </c>
      <c r="D458" s="5" t="inlineStr">
        <is>
          <t>JUMBO BAG RED RETROSPOT</t>
        </is>
      </c>
      <c r="E458" s="7" t="n">
        <v>4357.65</v>
      </c>
      <c r="F458" s="8" t="n">
        <v>2347</v>
      </c>
      <c r="G458" s="8" t="n">
        <v>108</v>
      </c>
      <c r="H458" s="5" t="n">
        <v>2011</v>
      </c>
      <c r="I458" s="5" t="n">
        <v>1</v>
      </c>
    </row>
    <row r="459">
      <c r="A459" s="5" t="inlineStr">
        <is>
          <t>2011-01</t>
        </is>
      </c>
      <c r="B459" s="5" t="inlineStr">
        <is>
          <t>United Kingdom</t>
        </is>
      </c>
      <c r="C459" s="5" t="inlineStr">
        <is>
          <t>85123A</t>
        </is>
      </c>
      <c r="D459" s="5" t="inlineStr">
        <is>
          <t>WHITE HANGING HEART T-LIGHT HOLDER</t>
        </is>
      </c>
      <c r="E459" s="7" t="n">
        <v>14446.51</v>
      </c>
      <c r="F459" s="8" t="n">
        <v>5235</v>
      </c>
      <c r="G459" s="8" t="n">
        <v>163</v>
      </c>
      <c r="H459" s="5" t="n">
        <v>2011</v>
      </c>
      <c r="I459" s="5" t="n">
        <v>1</v>
      </c>
    </row>
    <row r="460">
      <c r="A460" s="5" t="inlineStr">
        <is>
          <t>2011-01</t>
        </is>
      </c>
      <c r="B460" s="5" t="inlineStr">
        <is>
          <t>United Kingdom</t>
        </is>
      </c>
      <c r="C460" s="5" t="inlineStr">
        <is>
          <t>ALL OTHER PRODUCTS</t>
        </is>
      </c>
      <c r="D460" s="5" t="inlineStr">
        <is>
          <t>All other products</t>
        </is>
      </c>
      <c r="E460" s="7" t="n">
        <v>425257.09</v>
      </c>
      <c r="F460" s="8" t="n">
        <v>225221</v>
      </c>
      <c r="G460" s="8" t="n">
        <v>958</v>
      </c>
      <c r="H460" s="5" t="n">
        <v>2011</v>
      </c>
      <c r="I460" s="5" t="n">
        <v>1</v>
      </c>
    </row>
    <row r="461">
      <c r="A461" s="5" t="inlineStr">
        <is>
          <t>2011-02</t>
        </is>
      </c>
      <c r="B461" s="5" t="inlineStr">
        <is>
          <t>Ireland (EIRE)</t>
        </is>
      </c>
      <c r="C461" s="5" t="inlineStr">
        <is>
          <t>20725</t>
        </is>
      </c>
      <c r="D461" s="5" t="inlineStr">
        <is>
          <t>LUNCH BAG RED RETROSPOT</t>
        </is>
      </c>
      <c r="E461" s="7" t="n">
        <v>52.8</v>
      </c>
      <c r="F461" s="8" t="n">
        <v>32</v>
      </c>
      <c r="G461" s="8" t="n">
        <v>3</v>
      </c>
      <c r="H461" s="5" t="n">
        <v>2011</v>
      </c>
      <c r="I461" s="5" t="n">
        <v>2</v>
      </c>
    </row>
    <row r="462">
      <c r="A462" s="5" t="inlineStr">
        <is>
          <t>2011-02</t>
        </is>
      </c>
      <c r="B462" s="5" t="inlineStr">
        <is>
          <t>Ireland (EIRE)</t>
        </is>
      </c>
      <c r="C462" s="5" t="inlineStr">
        <is>
          <t>22197</t>
        </is>
      </c>
      <c r="D462" s="5" t="inlineStr">
        <is>
          <t>SMALL POPCORN HOLDER</t>
        </is>
      </c>
      <c r="E462" s="7" t="n">
        <v>288</v>
      </c>
      <c r="F462" s="8" t="n">
        <v>400</v>
      </c>
      <c r="G462" s="8" t="n">
        <v>1</v>
      </c>
      <c r="H462" s="5" t="n">
        <v>2011</v>
      </c>
      <c r="I462" s="5" t="n">
        <v>2</v>
      </c>
    </row>
    <row r="463">
      <c r="A463" s="5" t="inlineStr">
        <is>
          <t>2011-02</t>
        </is>
      </c>
      <c r="B463" s="5" t="inlineStr">
        <is>
          <t>Ireland (EIRE)</t>
        </is>
      </c>
      <c r="C463" s="5" t="inlineStr">
        <is>
          <t>22423</t>
        </is>
      </c>
      <c r="D463" s="5" t="inlineStr">
        <is>
          <t>REGENCY CAKESTAND 3 TIER</t>
        </is>
      </c>
      <c r="E463" s="7" t="n">
        <v>375.9</v>
      </c>
      <c r="F463" s="8" t="n">
        <v>34</v>
      </c>
      <c r="G463" s="8" t="n">
        <v>3</v>
      </c>
      <c r="H463" s="5" t="n">
        <v>2011</v>
      </c>
      <c r="I463" s="5" t="n">
        <v>2</v>
      </c>
    </row>
    <row r="464">
      <c r="A464" s="5" t="inlineStr">
        <is>
          <t>2011-02</t>
        </is>
      </c>
      <c r="B464" s="5" t="inlineStr">
        <is>
          <t>Ireland (EIRE)</t>
        </is>
      </c>
      <c r="C464" s="5" t="inlineStr">
        <is>
          <t>47566</t>
        </is>
      </c>
      <c r="D464" s="5" t="inlineStr">
        <is>
          <t>PARTY BUNTING</t>
        </is>
      </c>
      <c r="E464" s="7" t="n">
        <v>44.55</v>
      </c>
      <c r="F464" s="8" t="n">
        <v>9</v>
      </c>
      <c r="G464" s="8" t="n">
        <v>1</v>
      </c>
      <c r="H464" s="5" t="n">
        <v>2011</v>
      </c>
      <c r="I464" s="5" t="n">
        <v>2</v>
      </c>
    </row>
    <row r="465">
      <c r="A465" s="5" t="inlineStr">
        <is>
          <t>2011-02</t>
        </is>
      </c>
      <c r="B465" s="5" t="inlineStr">
        <is>
          <t>Ireland (EIRE)</t>
        </is>
      </c>
      <c r="C465" s="5" t="inlineStr">
        <is>
          <t>79321</t>
        </is>
      </c>
      <c r="D465" s="5" t="inlineStr">
        <is>
          <t>CHILLI LIGHTS</t>
        </is>
      </c>
      <c r="E465" s="7" t="n">
        <v>356.4</v>
      </c>
      <c r="F465" s="8" t="n">
        <v>72</v>
      </c>
      <c r="G465" s="8" t="n">
        <v>1</v>
      </c>
      <c r="H465" s="5" t="n">
        <v>2011</v>
      </c>
      <c r="I465" s="5" t="n">
        <v>2</v>
      </c>
    </row>
    <row r="466">
      <c r="A466" s="5" t="inlineStr">
        <is>
          <t>2011-02</t>
        </is>
      </c>
      <c r="B466" s="5" t="inlineStr">
        <is>
          <t>Ireland (EIRE)</t>
        </is>
      </c>
      <c r="C466" s="5" t="inlineStr">
        <is>
          <t>84879</t>
        </is>
      </c>
      <c r="D466" s="5" t="inlineStr">
        <is>
          <t>ASSORTED COLOUR BIRD ORNAMENT</t>
        </is>
      </c>
      <c r="E466" s="7" t="n">
        <v>40.56</v>
      </c>
      <c r="F466" s="8" t="n">
        <v>24</v>
      </c>
      <c r="G466" s="8" t="n">
        <v>1</v>
      </c>
      <c r="H466" s="5" t="n">
        <v>2011</v>
      </c>
      <c r="I466" s="5" t="n">
        <v>2</v>
      </c>
    </row>
    <row r="467">
      <c r="A467" s="5" t="inlineStr">
        <is>
          <t>2011-02</t>
        </is>
      </c>
      <c r="B467" s="5" t="inlineStr">
        <is>
          <t>Ireland (EIRE)</t>
        </is>
      </c>
      <c r="C467" s="5" t="inlineStr">
        <is>
          <t>85099B</t>
        </is>
      </c>
      <c r="D467" s="5" t="inlineStr">
        <is>
          <t>JUMBO BAG RED RETROSPOT</t>
        </is>
      </c>
      <c r="E467" s="7" t="n">
        <v>42.9</v>
      </c>
      <c r="F467" s="8" t="n">
        <v>22</v>
      </c>
      <c r="G467" s="8" t="n">
        <v>3</v>
      </c>
      <c r="H467" s="5" t="n">
        <v>2011</v>
      </c>
      <c r="I467" s="5" t="n">
        <v>2</v>
      </c>
    </row>
    <row r="468">
      <c r="A468" s="5" t="inlineStr">
        <is>
          <t>2011-02</t>
        </is>
      </c>
      <c r="B468" s="5" t="inlineStr">
        <is>
          <t>Ireland (EIRE)</t>
        </is>
      </c>
      <c r="C468" s="5" t="inlineStr">
        <is>
          <t>85123A</t>
        </is>
      </c>
      <c r="D468" s="5" t="inlineStr">
        <is>
          <t>WHITE HANGING HEART T-LIGHT HOLDER</t>
        </is>
      </c>
      <c r="E468" s="7" t="n">
        <v>216.3</v>
      </c>
      <c r="F468" s="8" t="n">
        <v>82</v>
      </c>
      <c r="G468" s="8" t="n">
        <v>5</v>
      </c>
      <c r="H468" s="5" t="n">
        <v>2011</v>
      </c>
      <c r="I468" s="5" t="n">
        <v>2</v>
      </c>
    </row>
    <row r="469">
      <c r="A469" s="5" t="inlineStr">
        <is>
          <t>2011-02</t>
        </is>
      </c>
      <c r="B469" s="5" t="inlineStr">
        <is>
          <t>Ireland (EIRE)</t>
        </is>
      </c>
      <c r="C469" s="5" t="inlineStr">
        <is>
          <t>ALL OTHER PRODUCTS</t>
        </is>
      </c>
      <c r="D469" s="5" t="inlineStr">
        <is>
          <t>All other products</t>
        </is>
      </c>
      <c r="E469" s="7" t="n">
        <v>10621.33</v>
      </c>
      <c r="F469" s="8" t="n">
        <v>5289</v>
      </c>
      <c r="G469" s="8" t="n">
        <v>13</v>
      </c>
      <c r="H469" s="5" t="n">
        <v>2011</v>
      </c>
      <c r="I469" s="5" t="n">
        <v>2</v>
      </c>
    </row>
    <row r="470">
      <c r="A470" s="5" t="inlineStr">
        <is>
          <t>2011-02</t>
        </is>
      </c>
      <c r="B470" s="5" t="inlineStr">
        <is>
          <t>Rest of Europe</t>
        </is>
      </c>
      <c r="C470" s="5" t="inlineStr">
        <is>
          <t>20725</t>
        </is>
      </c>
      <c r="D470" s="5" t="inlineStr">
        <is>
          <t>LUNCH BAG RED RETROSPOT</t>
        </is>
      </c>
      <c r="E470" s="7" t="n">
        <v>244</v>
      </c>
      <c r="F470" s="8" t="n">
        <v>160</v>
      </c>
      <c r="G470" s="8" t="n">
        <v>7</v>
      </c>
      <c r="H470" s="5" t="n">
        <v>2011</v>
      </c>
      <c r="I470" s="5" t="n">
        <v>2</v>
      </c>
    </row>
    <row r="471">
      <c r="A471" s="5" t="inlineStr">
        <is>
          <t>2011-02</t>
        </is>
      </c>
      <c r="B471" s="5" t="inlineStr">
        <is>
          <t>Rest of Europe</t>
        </is>
      </c>
      <c r="C471" s="5" t="inlineStr">
        <is>
          <t>22197</t>
        </is>
      </c>
      <c r="D471" s="5" t="inlineStr">
        <is>
          <t>SMALL POPCORN HOLDER</t>
        </is>
      </c>
      <c r="E471" s="7" t="n">
        <v>20.4</v>
      </c>
      <c r="F471" s="8" t="n">
        <v>24</v>
      </c>
      <c r="G471" s="8" t="n">
        <v>2</v>
      </c>
      <c r="H471" s="5" t="n">
        <v>2011</v>
      </c>
      <c r="I471" s="5" t="n">
        <v>2</v>
      </c>
    </row>
    <row r="472">
      <c r="A472" s="5" t="inlineStr">
        <is>
          <t>2011-02</t>
        </is>
      </c>
      <c r="B472" s="5" t="inlineStr">
        <is>
          <t>Rest of Europe</t>
        </is>
      </c>
      <c r="C472" s="5" t="inlineStr">
        <is>
          <t>22386</t>
        </is>
      </c>
      <c r="D472" s="5" t="inlineStr">
        <is>
          <t>JUMBO BAG PINK POLKADOT</t>
        </is>
      </c>
      <c r="E472" s="7" t="n">
        <v>165</v>
      </c>
      <c r="F472" s="8" t="n">
        <v>100</v>
      </c>
      <c r="G472" s="8" t="n">
        <v>1</v>
      </c>
      <c r="H472" s="5" t="n">
        <v>2011</v>
      </c>
      <c r="I472" s="5" t="n">
        <v>2</v>
      </c>
    </row>
    <row r="473">
      <c r="A473" s="5" t="inlineStr">
        <is>
          <t>2011-02</t>
        </is>
      </c>
      <c r="B473" s="5" t="inlineStr">
        <is>
          <t>Rest of Europe</t>
        </is>
      </c>
      <c r="C473" s="5" t="inlineStr">
        <is>
          <t>22423</t>
        </is>
      </c>
      <c r="D473" s="5" t="inlineStr">
        <is>
          <t>REGENCY CAKESTAND 3 TIER</t>
        </is>
      </c>
      <c r="E473" s="7" t="n">
        <v>1318.95</v>
      </c>
      <c r="F473" s="8" t="n">
        <v>117</v>
      </c>
      <c r="G473" s="8" t="n">
        <v>12</v>
      </c>
      <c r="H473" s="5" t="n">
        <v>2011</v>
      </c>
      <c r="I473" s="5" t="n">
        <v>2</v>
      </c>
    </row>
    <row r="474">
      <c r="A474" s="5" t="inlineStr">
        <is>
          <t>2011-02</t>
        </is>
      </c>
      <c r="B474" s="5" t="inlineStr">
        <is>
          <t>Rest of Europe</t>
        </is>
      </c>
      <c r="C474" s="5" t="inlineStr">
        <is>
          <t>47566</t>
        </is>
      </c>
      <c r="D474" s="5" t="inlineStr">
        <is>
          <t>PARTY BUNTING</t>
        </is>
      </c>
      <c r="E474" s="7" t="n">
        <v>72.75</v>
      </c>
      <c r="F474" s="8" t="n">
        <v>15</v>
      </c>
      <c r="G474" s="8" t="n">
        <v>2</v>
      </c>
      <c r="H474" s="5" t="n">
        <v>2011</v>
      </c>
      <c r="I474" s="5" t="n">
        <v>2</v>
      </c>
    </row>
    <row r="475">
      <c r="A475" s="5" t="inlineStr">
        <is>
          <t>2011-02</t>
        </is>
      </c>
      <c r="B475" s="5" t="inlineStr">
        <is>
          <t>Rest of Europe</t>
        </is>
      </c>
      <c r="C475" s="5" t="inlineStr">
        <is>
          <t>84879</t>
        </is>
      </c>
      <c r="D475" s="5" t="inlineStr">
        <is>
          <t>ASSORTED COLOUR BIRD ORNAMENT</t>
        </is>
      </c>
      <c r="E475" s="7" t="n">
        <v>81.12</v>
      </c>
      <c r="F475" s="8" t="n">
        <v>48</v>
      </c>
      <c r="G475" s="8" t="n">
        <v>2</v>
      </c>
      <c r="H475" s="5" t="n">
        <v>2011</v>
      </c>
      <c r="I475" s="5" t="n">
        <v>2</v>
      </c>
    </row>
    <row r="476">
      <c r="A476" s="5" t="inlineStr">
        <is>
          <t>2011-02</t>
        </is>
      </c>
      <c r="B476" s="5" t="inlineStr">
        <is>
          <t>Rest of Europe</t>
        </is>
      </c>
      <c r="C476" s="5" t="inlineStr">
        <is>
          <t>85099B</t>
        </is>
      </c>
      <c r="D476" s="5" t="inlineStr">
        <is>
          <t>JUMBO BAG RED RETROSPOT</t>
        </is>
      </c>
      <c r="E476" s="7" t="n">
        <v>408</v>
      </c>
      <c r="F476" s="8" t="n">
        <v>240</v>
      </c>
      <c r="G476" s="8" t="n">
        <v>6</v>
      </c>
      <c r="H476" s="5" t="n">
        <v>2011</v>
      </c>
      <c r="I476" s="5" t="n">
        <v>2</v>
      </c>
    </row>
    <row r="477">
      <c r="A477" s="5" t="inlineStr">
        <is>
          <t>2011-02</t>
        </is>
      </c>
      <c r="B477" s="5" t="inlineStr">
        <is>
          <t>Rest of Europe</t>
        </is>
      </c>
      <c r="C477" s="5" t="inlineStr">
        <is>
          <t>85123A</t>
        </is>
      </c>
      <c r="D477" s="5" t="inlineStr">
        <is>
          <t>WHITE HANGING HEART T-LIGHT HOLDER</t>
        </is>
      </c>
      <c r="E477" s="7" t="n">
        <v>214.7</v>
      </c>
      <c r="F477" s="8" t="n">
        <v>82</v>
      </c>
      <c r="G477" s="8" t="n">
        <v>4</v>
      </c>
      <c r="H477" s="5" t="n">
        <v>2011</v>
      </c>
      <c r="I477" s="5" t="n">
        <v>2</v>
      </c>
    </row>
    <row r="478">
      <c r="A478" s="5" t="inlineStr">
        <is>
          <t>2011-02</t>
        </is>
      </c>
      <c r="B478" s="5" t="inlineStr">
        <is>
          <t>Rest of Europe</t>
        </is>
      </c>
      <c r="C478" s="5" t="inlineStr">
        <is>
          <t>ALL OTHER PRODUCTS</t>
        </is>
      </c>
      <c r="D478" s="5" t="inlineStr">
        <is>
          <t>All other products</t>
        </is>
      </c>
      <c r="E478" s="7" t="n">
        <v>53053.1</v>
      </c>
      <c r="F478" s="8" t="n">
        <v>33800</v>
      </c>
      <c r="G478" s="8" t="n">
        <v>80</v>
      </c>
      <c r="H478" s="5" t="n">
        <v>2011</v>
      </c>
      <c r="I478" s="5" t="n">
        <v>2</v>
      </c>
    </row>
    <row r="479">
      <c r="A479" s="5" t="inlineStr">
        <is>
          <t>2011-02</t>
        </is>
      </c>
      <c r="B479" s="5" t="inlineStr">
        <is>
          <t>Rest of World</t>
        </is>
      </c>
      <c r="C479" s="5" t="inlineStr">
        <is>
          <t>20725</t>
        </is>
      </c>
      <c r="D479" s="5" t="inlineStr">
        <is>
          <t>LUNCH BAG RED RETROSPOT</t>
        </is>
      </c>
      <c r="E479" s="7" t="n">
        <v>145</v>
      </c>
      <c r="F479" s="8" t="n">
        <v>100</v>
      </c>
      <c r="G479" s="8" t="n">
        <v>1</v>
      </c>
      <c r="H479" s="5" t="n">
        <v>2011</v>
      </c>
      <c r="I479" s="5" t="n">
        <v>2</v>
      </c>
    </row>
    <row r="480">
      <c r="A480" s="5" t="inlineStr">
        <is>
          <t>2011-02</t>
        </is>
      </c>
      <c r="B480" s="5" t="inlineStr">
        <is>
          <t>Rest of World</t>
        </is>
      </c>
      <c r="C480" s="5" t="inlineStr">
        <is>
          <t>22423</t>
        </is>
      </c>
      <c r="D480" s="5" t="inlineStr">
        <is>
          <t>REGENCY CAKESTAND 3 TIER</t>
        </is>
      </c>
      <c r="E480" s="7" t="n">
        <v>876</v>
      </c>
      <c r="F480" s="8" t="n">
        <v>80</v>
      </c>
      <c r="G480" s="8" t="n">
        <v>2</v>
      </c>
      <c r="H480" s="5" t="n">
        <v>2011</v>
      </c>
      <c r="I480" s="5" t="n">
        <v>2</v>
      </c>
    </row>
    <row r="481">
      <c r="A481" s="5" t="inlineStr">
        <is>
          <t>2011-02</t>
        </is>
      </c>
      <c r="B481" s="5" t="inlineStr">
        <is>
          <t>Rest of World</t>
        </is>
      </c>
      <c r="C481" s="5" t="inlineStr">
        <is>
          <t>47566</t>
        </is>
      </c>
      <c r="D481" s="5" t="inlineStr">
        <is>
          <t>PARTY BUNTING</t>
        </is>
      </c>
      <c r="E481" s="7" t="n">
        <v>394.8</v>
      </c>
      <c r="F481" s="8" t="n">
        <v>104</v>
      </c>
      <c r="G481" s="8" t="n">
        <v>2</v>
      </c>
      <c r="H481" s="5" t="n">
        <v>2011</v>
      </c>
      <c r="I481" s="5" t="n">
        <v>2</v>
      </c>
    </row>
    <row r="482">
      <c r="A482" s="5" t="inlineStr">
        <is>
          <t>2011-02</t>
        </is>
      </c>
      <c r="B482" s="5" t="inlineStr">
        <is>
          <t>Rest of World</t>
        </is>
      </c>
      <c r="C482" s="5" t="inlineStr">
        <is>
          <t>ALL OTHER PRODUCTS</t>
        </is>
      </c>
      <c r="D482" s="5" t="inlineStr">
        <is>
          <t>All other products</t>
        </is>
      </c>
      <c r="E482" s="7" t="n">
        <v>20874.69</v>
      </c>
      <c r="F482" s="8" t="n">
        <v>12257</v>
      </c>
      <c r="G482" s="8" t="n">
        <v>10</v>
      </c>
      <c r="H482" s="5" t="n">
        <v>2011</v>
      </c>
      <c r="I482" s="5" t="n">
        <v>2</v>
      </c>
    </row>
    <row r="483">
      <c r="A483" s="5" t="inlineStr">
        <is>
          <t>2011-02</t>
        </is>
      </c>
      <c r="B483" s="5" t="inlineStr">
        <is>
          <t>United Kingdom</t>
        </is>
      </c>
      <c r="C483" s="5" t="inlineStr">
        <is>
          <t>20725</t>
        </is>
      </c>
      <c r="D483" s="5" t="inlineStr">
        <is>
          <t>LUNCH BAG RED RETROSPOT</t>
        </is>
      </c>
      <c r="E483" s="7" t="n">
        <v>1587.32</v>
      </c>
      <c r="F483" s="8" t="n">
        <v>866</v>
      </c>
      <c r="G483" s="8" t="n">
        <v>94</v>
      </c>
      <c r="H483" s="5" t="n">
        <v>2011</v>
      </c>
      <c r="I483" s="5" t="n">
        <v>2</v>
      </c>
    </row>
    <row r="484">
      <c r="A484" s="5" t="inlineStr">
        <is>
          <t>2011-02</t>
        </is>
      </c>
      <c r="B484" s="5" t="inlineStr">
        <is>
          <t>United Kingdom</t>
        </is>
      </c>
      <c r="C484" s="5" t="inlineStr">
        <is>
          <t>22086</t>
        </is>
      </c>
      <c r="D484" s="5" t="inlineStr">
        <is>
          <t>PAPER CHAIN KIT 50'S CHRISTMAS</t>
        </is>
      </c>
      <c r="E484" s="7" t="n">
        <v>24.95</v>
      </c>
      <c r="F484" s="8" t="n">
        <v>5</v>
      </c>
      <c r="G484" s="8" t="n">
        <v>3</v>
      </c>
      <c r="H484" s="5" t="n">
        <v>2011</v>
      </c>
      <c r="I484" s="5" t="n">
        <v>2</v>
      </c>
    </row>
    <row r="485">
      <c r="A485" s="5" t="inlineStr">
        <is>
          <t>2011-02</t>
        </is>
      </c>
      <c r="B485" s="5" t="inlineStr">
        <is>
          <t>United Kingdom</t>
        </is>
      </c>
      <c r="C485" s="5" t="inlineStr">
        <is>
          <t>22197</t>
        </is>
      </c>
      <c r="D485" s="5" t="inlineStr">
        <is>
          <t>SMALL POPCORN HOLDER</t>
        </is>
      </c>
      <c r="E485" s="7" t="n">
        <v>1816.9</v>
      </c>
      <c r="F485" s="8" t="n">
        <v>2240</v>
      </c>
      <c r="G485" s="8" t="n">
        <v>72</v>
      </c>
      <c r="H485" s="5" t="n">
        <v>2011</v>
      </c>
      <c r="I485" s="5" t="n">
        <v>2</v>
      </c>
    </row>
    <row r="486">
      <c r="A486" s="5" t="inlineStr">
        <is>
          <t>2011-02</t>
        </is>
      </c>
      <c r="B486" s="5" t="inlineStr">
        <is>
          <t>United Kingdom</t>
        </is>
      </c>
      <c r="C486" s="5" t="inlineStr">
        <is>
          <t>22386</t>
        </is>
      </c>
      <c r="D486" s="5" t="inlineStr">
        <is>
          <t>JUMBO BAG PINK POLKADOT</t>
        </is>
      </c>
      <c r="E486" s="7" t="n">
        <v>1807.83</v>
      </c>
      <c r="F486" s="8" t="n">
        <v>947</v>
      </c>
      <c r="G486" s="8" t="n">
        <v>67</v>
      </c>
      <c r="H486" s="5" t="n">
        <v>2011</v>
      </c>
      <c r="I486" s="5" t="n">
        <v>2</v>
      </c>
    </row>
    <row r="487">
      <c r="A487" s="5" t="inlineStr">
        <is>
          <t>2011-02</t>
        </is>
      </c>
      <c r="B487" s="5" t="inlineStr">
        <is>
          <t>United Kingdom</t>
        </is>
      </c>
      <c r="C487" s="5" t="inlineStr">
        <is>
          <t>22423</t>
        </is>
      </c>
      <c r="D487" s="5" t="inlineStr">
        <is>
          <t>REGENCY CAKESTAND 3 TIER</t>
        </is>
      </c>
      <c r="E487" s="7" t="n">
        <v>8438.639999999999</v>
      </c>
      <c r="F487" s="8" t="n">
        <v>670</v>
      </c>
      <c r="G487" s="8" t="n">
        <v>115</v>
      </c>
      <c r="H487" s="5" t="n">
        <v>2011</v>
      </c>
      <c r="I487" s="5" t="n">
        <v>2</v>
      </c>
    </row>
    <row r="488">
      <c r="A488" s="5" t="inlineStr">
        <is>
          <t>2011-02</t>
        </is>
      </c>
      <c r="B488" s="5" t="inlineStr">
        <is>
          <t>United Kingdom</t>
        </is>
      </c>
      <c r="C488" s="5" t="inlineStr">
        <is>
          <t>47566</t>
        </is>
      </c>
      <c r="D488" s="5" t="inlineStr">
        <is>
          <t>PARTY BUNTING</t>
        </is>
      </c>
      <c r="E488" s="7" t="n">
        <v>3835.8</v>
      </c>
      <c r="F488" s="8" t="n">
        <v>797</v>
      </c>
      <c r="G488" s="8" t="n">
        <v>74</v>
      </c>
      <c r="H488" s="5" t="n">
        <v>2011</v>
      </c>
      <c r="I488" s="5" t="n">
        <v>2</v>
      </c>
    </row>
    <row r="489">
      <c r="A489" s="5" t="inlineStr">
        <is>
          <t>2011-02</t>
        </is>
      </c>
      <c r="B489" s="5" t="inlineStr">
        <is>
          <t>United Kingdom</t>
        </is>
      </c>
      <c r="C489" s="5" t="inlineStr">
        <is>
          <t>79321</t>
        </is>
      </c>
      <c r="D489" s="5" t="inlineStr">
        <is>
          <t>CHILLI LIGHTS</t>
        </is>
      </c>
      <c r="E489" s="7" t="n">
        <v>3259.85</v>
      </c>
      <c r="F489" s="8" t="n">
        <v>596</v>
      </c>
      <c r="G489" s="8" t="n">
        <v>49</v>
      </c>
      <c r="H489" s="5" t="n">
        <v>2011</v>
      </c>
      <c r="I489" s="5" t="n">
        <v>2</v>
      </c>
    </row>
    <row r="490">
      <c r="A490" s="5" t="inlineStr">
        <is>
          <t>2011-02</t>
        </is>
      </c>
      <c r="B490" s="5" t="inlineStr">
        <is>
          <t>United Kingdom</t>
        </is>
      </c>
      <c r="C490" s="5" t="inlineStr">
        <is>
          <t>84347</t>
        </is>
      </c>
      <c r="D490" s="5" t="inlineStr">
        <is>
          <t>ROTATING SILVER ANGELS T-LIGHT HLDR</t>
        </is>
      </c>
      <c r="E490" s="7" t="n">
        <v>174.51</v>
      </c>
      <c r="F490" s="8" t="n">
        <v>31</v>
      </c>
      <c r="G490" s="8" t="n">
        <v>20</v>
      </c>
      <c r="H490" s="5" t="n">
        <v>2011</v>
      </c>
      <c r="I490" s="5" t="n">
        <v>2</v>
      </c>
    </row>
    <row r="491">
      <c r="A491" s="5" t="inlineStr">
        <is>
          <t>2011-02</t>
        </is>
      </c>
      <c r="B491" s="5" t="inlineStr">
        <is>
          <t>United Kingdom</t>
        </is>
      </c>
      <c r="C491" s="5" t="inlineStr">
        <is>
          <t>84879</t>
        </is>
      </c>
      <c r="D491" s="5" t="inlineStr">
        <is>
          <t>ASSORTED COLOUR BIRD ORNAMENT</t>
        </is>
      </c>
      <c r="E491" s="7" t="n">
        <v>2614.67</v>
      </c>
      <c r="F491" s="8" t="n">
        <v>1595</v>
      </c>
      <c r="G491" s="8" t="n">
        <v>70</v>
      </c>
      <c r="H491" s="5" t="n">
        <v>2011</v>
      </c>
      <c r="I491" s="5" t="n">
        <v>2</v>
      </c>
    </row>
    <row r="492">
      <c r="A492" s="5" t="inlineStr">
        <is>
          <t>2011-02</t>
        </is>
      </c>
      <c r="B492" s="5" t="inlineStr">
        <is>
          <t>United Kingdom</t>
        </is>
      </c>
      <c r="C492" s="5" t="inlineStr">
        <is>
          <t>85099B</t>
        </is>
      </c>
      <c r="D492" s="5" t="inlineStr">
        <is>
          <t>JUMBO BAG RED RETROSPOT</t>
        </is>
      </c>
      <c r="E492" s="7" t="n">
        <v>5166.34</v>
      </c>
      <c r="F492" s="8" t="n">
        <v>2818</v>
      </c>
      <c r="G492" s="8" t="n">
        <v>114</v>
      </c>
      <c r="H492" s="5" t="n">
        <v>2011</v>
      </c>
      <c r="I492" s="5" t="n">
        <v>2</v>
      </c>
    </row>
    <row r="493">
      <c r="A493" s="5" t="inlineStr">
        <is>
          <t>2011-02</t>
        </is>
      </c>
      <c r="B493" s="5" t="inlineStr">
        <is>
          <t>United Kingdom</t>
        </is>
      </c>
      <c r="C493" s="5" t="inlineStr">
        <is>
          <t>85123A</t>
        </is>
      </c>
      <c r="D493" s="5" t="inlineStr">
        <is>
          <t>WHITE HANGING HEART T-LIGHT HOLDER</t>
        </is>
      </c>
      <c r="E493" s="7" t="n">
        <v>4709.11</v>
      </c>
      <c r="F493" s="8" t="n">
        <v>1713</v>
      </c>
      <c r="G493" s="8" t="n">
        <v>132</v>
      </c>
      <c r="H493" s="5" t="n">
        <v>2011</v>
      </c>
      <c r="I493" s="5" t="n">
        <v>2</v>
      </c>
    </row>
    <row r="494">
      <c r="A494" s="5" t="inlineStr">
        <is>
          <t>2011-02</t>
        </is>
      </c>
      <c r="B494" s="5" t="inlineStr">
        <is>
          <t>United Kingdom</t>
        </is>
      </c>
      <c r="C494" s="5" t="inlineStr">
        <is>
          <t>ALL OTHER PRODUCTS</t>
        </is>
      </c>
      <c r="D494" s="5" t="inlineStr">
        <is>
          <t>All other products</t>
        </is>
      </c>
      <c r="E494" s="7" t="n">
        <v>384456.7</v>
      </c>
      <c r="F494" s="8" t="n">
        <v>217258</v>
      </c>
      <c r="G494" s="8" t="n">
        <v>982</v>
      </c>
      <c r="H494" s="5" t="n">
        <v>2011</v>
      </c>
      <c r="I494" s="5" t="n">
        <v>2</v>
      </c>
    </row>
    <row r="495">
      <c r="A495" s="5" t="inlineStr">
        <is>
          <t>2011-03</t>
        </is>
      </c>
      <c r="B495" s="5" t="inlineStr">
        <is>
          <t>Ireland (EIRE)</t>
        </is>
      </c>
      <c r="C495" s="5" t="inlineStr">
        <is>
          <t>22197</t>
        </is>
      </c>
      <c r="D495" s="5" t="inlineStr">
        <is>
          <t>SMALL POPCORN HOLDER</t>
        </is>
      </c>
      <c r="E495" s="7" t="n">
        <v>92.40000000000001</v>
      </c>
      <c r="F495" s="8" t="n">
        <v>124</v>
      </c>
      <c r="G495" s="8" t="n">
        <v>3</v>
      </c>
      <c r="H495" s="5" t="n">
        <v>2011</v>
      </c>
      <c r="I495" s="5" t="n">
        <v>3</v>
      </c>
    </row>
    <row r="496">
      <c r="A496" s="5" t="inlineStr">
        <is>
          <t>2011-03</t>
        </is>
      </c>
      <c r="B496" s="5" t="inlineStr">
        <is>
          <t>Ireland (EIRE)</t>
        </is>
      </c>
      <c r="C496" s="5" t="inlineStr">
        <is>
          <t>22423</t>
        </is>
      </c>
      <c r="D496" s="5" t="inlineStr">
        <is>
          <t>REGENCY CAKESTAND 3 TIER</t>
        </is>
      </c>
      <c r="E496" s="7" t="n">
        <v>63.75</v>
      </c>
      <c r="F496" s="8" t="n">
        <v>5</v>
      </c>
      <c r="G496" s="8" t="n">
        <v>2</v>
      </c>
      <c r="H496" s="5" t="n">
        <v>2011</v>
      </c>
      <c r="I496" s="5" t="n">
        <v>3</v>
      </c>
    </row>
    <row r="497">
      <c r="A497" s="5" t="inlineStr">
        <is>
          <t>2011-03</t>
        </is>
      </c>
      <c r="B497" s="5" t="inlineStr">
        <is>
          <t>Ireland (EIRE)</t>
        </is>
      </c>
      <c r="C497" s="5" t="inlineStr">
        <is>
          <t>79321</t>
        </is>
      </c>
      <c r="D497" s="5" t="inlineStr">
        <is>
          <t>CHILLI LIGHTS</t>
        </is>
      </c>
      <c r="E497" s="7" t="n">
        <v>178.2</v>
      </c>
      <c r="F497" s="8" t="n">
        <v>36</v>
      </c>
      <c r="G497" s="8" t="n">
        <v>1</v>
      </c>
      <c r="H497" s="5" t="n">
        <v>2011</v>
      </c>
      <c r="I497" s="5" t="n">
        <v>3</v>
      </c>
    </row>
    <row r="498">
      <c r="A498" s="5" t="inlineStr">
        <is>
          <t>2011-03</t>
        </is>
      </c>
      <c r="B498" s="5" t="inlineStr">
        <is>
          <t>Ireland (EIRE)</t>
        </is>
      </c>
      <c r="C498" s="5" t="inlineStr">
        <is>
          <t>84879</t>
        </is>
      </c>
      <c r="D498" s="5" t="inlineStr">
        <is>
          <t>ASSORTED COLOUR BIRD ORNAMENT</t>
        </is>
      </c>
      <c r="E498" s="7" t="n">
        <v>27.04</v>
      </c>
      <c r="F498" s="8" t="n">
        <v>16</v>
      </c>
      <c r="G498" s="8" t="n">
        <v>1</v>
      </c>
      <c r="H498" s="5" t="n">
        <v>2011</v>
      </c>
      <c r="I498" s="5" t="n">
        <v>3</v>
      </c>
    </row>
    <row r="499">
      <c r="A499" s="5" t="inlineStr">
        <is>
          <t>2011-03</t>
        </is>
      </c>
      <c r="B499" s="5" t="inlineStr">
        <is>
          <t>Ireland (EIRE)</t>
        </is>
      </c>
      <c r="C499" s="5" t="inlineStr">
        <is>
          <t>85099B</t>
        </is>
      </c>
      <c r="D499" s="5" t="inlineStr">
        <is>
          <t>JUMBO BAG RED RETROSPOT</t>
        </is>
      </c>
      <c r="E499" s="7" t="n">
        <v>19.5</v>
      </c>
      <c r="F499" s="8" t="n">
        <v>10</v>
      </c>
      <c r="G499" s="8" t="n">
        <v>1</v>
      </c>
      <c r="H499" s="5" t="n">
        <v>2011</v>
      </c>
      <c r="I499" s="5" t="n">
        <v>3</v>
      </c>
    </row>
    <row r="500">
      <c r="A500" s="5" t="inlineStr">
        <is>
          <t>2011-03</t>
        </is>
      </c>
      <c r="B500" s="5" t="inlineStr">
        <is>
          <t>Ireland (EIRE)</t>
        </is>
      </c>
      <c r="C500" s="5" t="inlineStr">
        <is>
          <t>85123A</t>
        </is>
      </c>
      <c r="D500" s="5" t="inlineStr">
        <is>
          <t>WHITE HANGING HEART T-LIGHT HOLDER</t>
        </is>
      </c>
      <c r="E500" s="7" t="n">
        <v>70.8</v>
      </c>
      <c r="F500" s="8" t="n">
        <v>24</v>
      </c>
      <c r="G500" s="8" t="n">
        <v>2</v>
      </c>
      <c r="H500" s="5" t="n">
        <v>2011</v>
      </c>
      <c r="I500" s="5" t="n">
        <v>3</v>
      </c>
    </row>
    <row r="501">
      <c r="A501" s="5" t="inlineStr">
        <is>
          <t>2011-03</t>
        </is>
      </c>
      <c r="B501" s="5" t="inlineStr">
        <is>
          <t>Ireland (EIRE)</t>
        </is>
      </c>
      <c r="C501" s="5" t="inlineStr">
        <is>
          <t>ALL OTHER PRODUCTS</t>
        </is>
      </c>
      <c r="D501" s="5" t="inlineStr">
        <is>
          <t>All other products</t>
        </is>
      </c>
      <c r="E501" s="7" t="n">
        <v>17871.48</v>
      </c>
      <c r="F501" s="8" t="n">
        <v>9353</v>
      </c>
      <c r="G501" s="8" t="n">
        <v>21</v>
      </c>
      <c r="H501" s="5" t="n">
        <v>2011</v>
      </c>
      <c r="I501" s="5" t="n">
        <v>3</v>
      </c>
    </row>
    <row r="502">
      <c r="A502" s="5" t="inlineStr">
        <is>
          <t>2011-03</t>
        </is>
      </c>
      <c r="B502" s="5" t="inlineStr">
        <is>
          <t>Rest of Europe</t>
        </is>
      </c>
      <c r="C502" s="5" t="inlineStr">
        <is>
          <t>20725</t>
        </is>
      </c>
      <c r="D502" s="5" t="inlineStr">
        <is>
          <t>LUNCH BAG RED RETROSPOT</t>
        </is>
      </c>
      <c r="E502" s="7" t="n">
        <v>301.95</v>
      </c>
      <c r="F502" s="8" t="n">
        <v>183</v>
      </c>
      <c r="G502" s="8" t="n">
        <v>12</v>
      </c>
      <c r="H502" s="5" t="n">
        <v>2011</v>
      </c>
      <c r="I502" s="5" t="n">
        <v>3</v>
      </c>
    </row>
    <row r="503">
      <c r="A503" s="5" t="inlineStr">
        <is>
          <t>2011-03</t>
        </is>
      </c>
      <c r="B503" s="5" t="inlineStr">
        <is>
          <t>Rest of Europe</t>
        </is>
      </c>
      <c r="C503" s="5" t="inlineStr">
        <is>
          <t>22197</t>
        </is>
      </c>
      <c r="D503" s="5" t="inlineStr">
        <is>
          <t>SMALL POPCORN HOLDER</t>
        </is>
      </c>
      <c r="E503" s="7" t="n">
        <v>142.8</v>
      </c>
      <c r="F503" s="8" t="n">
        <v>168</v>
      </c>
      <c r="G503" s="8" t="n">
        <v>8</v>
      </c>
      <c r="H503" s="5" t="n">
        <v>2011</v>
      </c>
      <c r="I503" s="5" t="n">
        <v>3</v>
      </c>
    </row>
    <row r="504">
      <c r="A504" s="5" t="inlineStr">
        <is>
          <t>2011-03</t>
        </is>
      </c>
      <c r="B504" s="5" t="inlineStr">
        <is>
          <t>Rest of Europe</t>
        </is>
      </c>
      <c r="C504" s="5" t="inlineStr">
        <is>
          <t>22386</t>
        </is>
      </c>
      <c r="D504" s="5" t="inlineStr">
        <is>
          <t>JUMBO BAG PINK POLKADOT</t>
        </is>
      </c>
      <c r="E504" s="7" t="n">
        <v>620.5</v>
      </c>
      <c r="F504" s="8" t="n">
        <v>350</v>
      </c>
      <c r="G504" s="8" t="n">
        <v>6</v>
      </c>
      <c r="H504" s="5" t="n">
        <v>2011</v>
      </c>
      <c r="I504" s="5" t="n">
        <v>3</v>
      </c>
    </row>
    <row r="505">
      <c r="A505" s="5" t="inlineStr">
        <is>
          <t>2011-03</t>
        </is>
      </c>
      <c r="B505" s="5" t="inlineStr">
        <is>
          <t>Rest of Europe</t>
        </is>
      </c>
      <c r="C505" s="5" t="inlineStr">
        <is>
          <t>22423</t>
        </is>
      </c>
      <c r="D505" s="5" t="inlineStr">
        <is>
          <t>REGENCY CAKESTAND 3 TIER</t>
        </is>
      </c>
      <c r="E505" s="7" t="n">
        <v>1624.95</v>
      </c>
      <c r="F505" s="8" t="n">
        <v>141</v>
      </c>
      <c r="G505" s="8" t="n">
        <v>19</v>
      </c>
      <c r="H505" s="5" t="n">
        <v>2011</v>
      </c>
      <c r="I505" s="5" t="n">
        <v>3</v>
      </c>
    </row>
    <row r="506">
      <c r="A506" s="5" t="inlineStr">
        <is>
          <t>2011-03</t>
        </is>
      </c>
      <c r="B506" s="5" t="inlineStr">
        <is>
          <t>Rest of Europe</t>
        </is>
      </c>
      <c r="C506" s="5" t="inlineStr">
        <is>
          <t>47566</t>
        </is>
      </c>
      <c r="D506" s="5" t="inlineStr">
        <is>
          <t>PARTY BUNTING</t>
        </is>
      </c>
      <c r="E506" s="7" t="n">
        <v>158.4</v>
      </c>
      <c r="F506" s="8" t="n">
        <v>32</v>
      </c>
      <c r="G506" s="8" t="n">
        <v>5</v>
      </c>
      <c r="H506" s="5" t="n">
        <v>2011</v>
      </c>
      <c r="I506" s="5" t="n">
        <v>3</v>
      </c>
    </row>
    <row r="507">
      <c r="A507" s="5" t="inlineStr">
        <is>
          <t>2011-03</t>
        </is>
      </c>
      <c r="B507" s="5" t="inlineStr">
        <is>
          <t>Rest of Europe</t>
        </is>
      </c>
      <c r="C507" s="5" t="inlineStr">
        <is>
          <t>84879</t>
        </is>
      </c>
      <c r="D507" s="5" t="inlineStr">
        <is>
          <t>ASSORTED COLOUR BIRD ORNAMENT</t>
        </is>
      </c>
      <c r="E507" s="7" t="n">
        <v>421.28</v>
      </c>
      <c r="F507" s="8" t="n">
        <v>272</v>
      </c>
      <c r="G507" s="8" t="n">
        <v>7</v>
      </c>
      <c r="H507" s="5" t="n">
        <v>2011</v>
      </c>
      <c r="I507" s="5" t="n">
        <v>3</v>
      </c>
    </row>
    <row r="508">
      <c r="A508" s="5" t="inlineStr">
        <is>
          <t>2011-03</t>
        </is>
      </c>
      <c r="B508" s="5" t="inlineStr">
        <is>
          <t>Rest of Europe</t>
        </is>
      </c>
      <c r="C508" s="5" t="inlineStr">
        <is>
          <t>85099B</t>
        </is>
      </c>
      <c r="D508" s="5" t="inlineStr">
        <is>
          <t>JUMBO BAG RED RETROSPOT</t>
        </is>
      </c>
      <c r="E508" s="7" t="n">
        <v>381.45</v>
      </c>
      <c r="F508" s="8" t="n">
        <v>211</v>
      </c>
      <c r="G508" s="8" t="n">
        <v>10</v>
      </c>
      <c r="H508" s="5" t="n">
        <v>2011</v>
      </c>
      <c r="I508" s="5" t="n">
        <v>3</v>
      </c>
    </row>
    <row r="509">
      <c r="A509" s="5" t="inlineStr">
        <is>
          <t>2011-03</t>
        </is>
      </c>
      <c r="B509" s="5" t="inlineStr">
        <is>
          <t>Rest of Europe</t>
        </is>
      </c>
      <c r="C509" s="5" t="inlineStr">
        <is>
          <t>85123A</t>
        </is>
      </c>
      <c r="D509" s="5" t="inlineStr">
        <is>
          <t>WHITE HANGING HEART T-LIGHT HOLDER</t>
        </is>
      </c>
      <c r="E509" s="7" t="n">
        <v>159.3</v>
      </c>
      <c r="F509" s="8" t="n">
        <v>54</v>
      </c>
      <c r="G509" s="8" t="n">
        <v>5</v>
      </c>
      <c r="H509" s="5" t="n">
        <v>2011</v>
      </c>
      <c r="I509" s="5" t="n">
        <v>3</v>
      </c>
    </row>
    <row r="510">
      <c r="A510" s="5" t="inlineStr">
        <is>
          <t>2011-03</t>
        </is>
      </c>
      <c r="B510" s="5" t="inlineStr">
        <is>
          <t>Rest of Europe</t>
        </is>
      </c>
      <c r="C510" s="5" t="inlineStr">
        <is>
          <t>ALL OTHER PRODUCTS</t>
        </is>
      </c>
      <c r="D510" s="5" t="inlineStr">
        <is>
          <t>All other products</t>
        </is>
      </c>
      <c r="E510" s="7" t="n">
        <v>78832.64999999999</v>
      </c>
      <c r="F510" s="8" t="n">
        <v>50750</v>
      </c>
      <c r="G510" s="8" t="n">
        <v>110</v>
      </c>
      <c r="H510" s="5" t="n">
        <v>2011</v>
      </c>
      <c r="I510" s="5" t="n">
        <v>3</v>
      </c>
    </row>
    <row r="511">
      <c r="A511" s="5" t="inlineStr">
        <is>
          <t>2011-03</t>
        </is>
      </c>
      <c r="B511" s="5" t="inlineStr">
        <is>
          <t>Rest of World</t>
        </is>
      </c>
      <c r="C511" s="5" t="inlineStr">
        <is>
          <t>22423</t>
        </is>
      </c>
      <c r="D511" s="5" t="inlineStr">
        <is>
          <t>REGENCY CAKESTAND 3 TIER</t>
        </is>
      </c>
      <c r="E511" s="7" t="n">
        <v>350.4</v>
      </c>
      <c r="F511" s="8" t="n">
        <v>32</v>
      </c>
      <c r="G511" s="8" t="n">
        <v>1</v>
      </c>
      <c r="H511" s="5" t="n">
        <v>2011</v>
      </c>
      <c r="I511" s="5" t="n">
        <v>3</v>
      </c>
    </row>
    <row r="512">
      <c r="A512" s="5" t="inlineStr">
        <is>
          <t>2011-03</t>
        </is>
      </c>
      <c r="B512" s="5" t="inlineStr">
        <is>
          <t>Rest of World</t>
        </is>
      </c>
      <c r="C512" s="5" t="inlineStr">
        <is>
          <t>47566</t>
        </is>
      </c>
      <c r="D512" s="5" t="inlineStr">
        <is>
          <t>PARTY BUNTING</t>
        </is>
      </c>
      <c r="E512" s="7" t="n">
        <v>59.4</v>
      </c>
      <c r="F512" s="8" t="n">
        <v>12</v>
      </c>
      <c r="G512" s="8" t="n">
        <v>1</v>
      </c>
      <c r="H512" s="5" t="n">
        <v>2011</v>
      </c>
      <c r="I512" s="5" t="n">
        <v>3</v>
      </c>
    </row>
    <row r="513">
      <c r="A513" s="5" t="inlineStr">
        <is>
          <t>2011-03</t>
        </is>
      </c>
      <c r="B513" s="5" t="inlineStr">
        <is>
          <t>Rest of World</t>
        </is>
      </c>
      <c r="C513" s="5" t="inlineStr">
        <is>
          <t>84879</t>
        </is>
      </c>
      <c r="D513" s="5" t="inlineStr">
        <is>
          <t>ASSORTED COLOUR BIRD ORNAMENT</t>
        </is>
      </c>
      <c r="E513" s="7" t="n">
        <v>13.52</v>
      </c>
      <c r="F513" s="8" t="n">
        <v>8</v>
      </c>
      <c r="G513" s="8" t="n">
        <v>1</v>
      </c>
      <c r="H513" s="5" t="n">
        <v>2011</v>
      </c>
      <c r="I513" s="5" t="n">
        <v>3</v>
      </c>
    </row>
    <row r="514">
      <c r="A514" s="5" t="inlineStr">
        <is>
          <t>2011-03</t>
        </is>
      </c>
      <c r="B514" s="5" t="inlineStr">
        <is>
          <t>Rest of World</t>
        </is>
      </c>
      <c r="C514" s="5" t="inlineStr">
        <is>
          <t>ALL OTHER PRODUCTS</t>
        </is>
      </c>
      <c r="D514" s="5" t="inlineStr">
        <is>
          <t>All other products</t>
        </is>
      </c>
      <c r="E514" s="7" t="n">
        <v>16990.11</v>
      </c>
      <c r="F514" s="8" t="n">
        <v>10496</v>
      </c>
      <c r="G514" s="8" t="n">
        <v>7</v>
      </c>
      <c r="H514" s="5" t="n">
        <v>2011</v>
      </c>
      <c r="I514" s="5" t="n">
        <v>3</v>
      </c>
    </row>
    <row r="515">
      <c r="A515" s="5" t="inlineStr">
        <is>
          <t>2011-03</t>
        </is>
      </c>
      <c r="B515" s="5" t="inlineStr">
        <is>
          <t>United Kingdom</t>
        </is>
      </c>
      <c r="C515" s="5" t="inlineStr">
        <is>
          <t>20725</t>
        </is>
      </c>
      <c r="D515" s="5" t="inlineStr">
        <is>
          <t>LUNCH BAG RED RETROSPOT</t>
        </is>
      </c>
      <c r="E515" s="7" t="n">
        <v>2438.82</v>
      </c>
      <c r="F515" s="8" t="n">
        <v>1321</v>
      </c>
      <c r="G515" s="8" t="n">
        <v>107</v>
      </c>
      <c r="H515" s="5" t="n">
        <v>2011</v>
      </c>
      <c r="I515" s="5" t="n">
        <v>3</v>
      </c>
    </row>
    <row r="516">
      <c r="A516" s="5" t="inlineStr">
        <is>
          <t>2011-03</t>
        </is>
      </c>
      <c r="B516" s="5" t="inlineStr">
        <is>
          <t>United Kingdom</t>
        </is>
      </c>
      <c r="C516" s="5" t="inlineStr">
        <is>
          <t>22086</t>
        </is>
      </c>
      <c r="D516" s="5" t="inlineStr">
        <is>
          <t>PAPER CHAIN KIT 50'S CHRISTMAS</t>
        </is>
      </c>
      <c r="E516" s="7" t="n">
        <v>232.01</v>
      </c>
      <c r="F516" s="8" t="n">
        <v>87</v>
      </c>
      <c r="G516" s="8" t="n">
        <v>5</v>
      </c>
      <c r="H516" s="5" t="n">
        <v>2011</v>
      </c>
      <c r="I516" s="5" t="n">
        <v>3</v>
      </c>
    </row>
    <row r="517">
      <c r="A517" s="5" t="inlineStr">
        <is>
          <t>2011-03</t>
        </is>
      </c>
      <c r="B517" s="5" t="inlineStr">
        <is>
          <t>United Kingdom</t>
        </is>
      </c>
      <c r="C517" s="5" t="inlineStr">
        <is>
          <t>22197</t>
        </is>
      </c>
      <c r="D517" s="5" t="inlineStr">
        <is>
          <t>SMALL POPCORN HOLDER</t>
        </is>
      </c>
      <c r="E517" s="7" t="n">
        <v>2797.61</v>
      </c>
      <c r="F517" s="8" t="n">
        <v>2511</v>
      </c>
      <c r="G517" s="8" t="n">
        <v>81</v>
      </c>
      <c r="H517" s="5" t="n">
        <v>2011</v>
      </c>
      <c r="I517" s="5" t="n">
        <v>3</v>
      </c>
    </row>
    <row r="518">
      <c r="A518" s="5" t="inlineStr">
        <is>
          <t>2011-03</t>
        </is>
      </c>
      <c r="B518" s="5" t="inlineStr">
        <is>
          <t>United Kingdom</t>
        </is>
      </c>
      <c r="C518" s="5" t="inlineStr">
        <is>
          <t>22386</t>
        </is>
      </c>
      <c r="D518" s="5" t="inlineStr">
        <is>
          <t>JUMBO BAG PINK POLKADOT</t>
        </is>
      </c>
      <c r="E518" s="7" t="n">
        <v>4458.79</v>
      </c>
      <c r="F518" s="8" t="n">
        <v>2459</v>
      </c>
      <c r="G518" s="8" t="n">
        <v>101</v>
      </c>
      <c r="H518" s="5" t="n">
        <v>2011</v>
      </c>
      <c r="I518" s="5" t="n">
        <v>3</v>
      </c>
    </row>
    <row r="519">
      <c r="A519" s="5" t="inlineStr">
        <is>
          <t>2011-03</t>
        </is>
      </c>
      <c r="B519" s="5" t="inlineStr">
        <is>
          <t>United Kingdom</t>
        </is>
      </c>
      <c r="C519" s="5" t="inlineStr">
        <is>
          <t>22423</t>
        </is>
      </c>
      <c r="D519" s="5" t="inlineStr">
        <is>
          <t>REGENCY CAKESTAND 3 TIER</t>
        </is>
      </c>
      <c r="E519" s="7" t="n">
        <v>16320.15</v>
      </c>
      <c r="F519" s="8" t="n">
        <v>1274</v>
      </c>
      <c r="G519" s="8" t="n">
        <v>172</v>
      </c>
      <c r="H519" s="5" t="n">
        <v>2011</v>
      </c>
      <c r="I519" s="5" t="n">
        <v>3</v>
      </c>
    </row>
    <row r="520">
      <c r="A520" s="5" t="inlineStr">
        <is>
          <t>2011-03</t>
        </is>
      </c>
      <c r="B520" s="5" t="inlineStr">
        <is>
          <t>United Kingdom</t>
        </is>
      </c>
      <c r="C520" s="5" t="inlineStr">
        <is>
          <t>47566</t>
        </is>
      </c>
      <c r="D520" s="5" t="inlineStr">
        <is>
          <t>PARTY BUNTING</t>
        </is>
      </c>
      <c r="E520" s="7" t="n">
        <v>8905.219999999999</v>
      </c>
      <c r="F520" s="8" t="n">
        <v>1622</v>
      </c>
      <c r="G520" s="8" t="n">
        <v>151</v>
      </c>
      <c r="H520" s="5" t="n">
        <v>2011</v>
      </c>
      <c r="I520" s="5" t="n">
        <v>3</v>
      </c>
    </row>
    <row r="521">
      <c r="A521" s="5" t="inlineStr">
        <is>
          <t>2011-03</t>
        </is>
      </c>
      <c r="B521" s="5" t="inlineStr">
        <is>
          <t>United Kingdom</t>
        </is>
      </c>
      <c r="C521" s="5" t="inlineStr">
        <is>
          <t>79321</t>
        </is>
      </c>
      <c r="D521" s="5" t="inlineStr">
        <is>
          <t>CHILLI LIGHTS</t>
        </is>
      </c>
      <c r="E521" s="7" t="n">
        <v>2909.1</v>
      </c>
      <c r="F521" s="8" t="n">
        <v>477</v>
      </c>
      <c r="G521" s="8" t="n">
        <v>48</v>
      </c>
      <c r="H521" s="5" t="n">
        <v>2011</v>
      </c>
      <c r="I521" s="5" t="n">
        <v>3</v>
      </c>
    </row>
    <row r="522">
      <c r="A522" s="5" t="inlineStr">
        <is>
          <t>2011-03</t>
        </is>
      </c>
      <c r="B522" s="5" t="inlineStr">
        <is>
          <t>United Kingdom</t>
        </is>
      </c>
      <c r="C522" s="5" t="inlineStr">
        <is>
          <t>84347</t>
        </is>
      </c>
      <c r="D522" s="5" t="inlineStr">
        <is>
          <t>ROTATING SILVER ANGELS T-LIGHT HLDR</t>
        </is>
      </c>
      <c r="E522" s="7" t="n">
        <v>62.03</v>
      </c>
      <c r="F522" s="8" t="n">
        <v>11</v>
      </c>
      <c r="G522" s="8" t="n">
        <v>7</v>
      </c>
      <c r="H522" s="5" t="n">
        <v>2011</v>
      </c>
      <c r="I522" s="5" t="n">
        <v>3</v>
      </c>
    </row>
    <row r="523">
      <c r="A523" s="5" t="inlineStr">
        <is>
          <t>2011-03</t>
        </is>
      </c>
      <c r="B523" s="5" t="inlineStr">
        <is>
          <t>United Kingdom</t>
        </is>
      </c>
      <c r="C523" s="5" t="inlineStr">
        <is>
          <t>84879</t>
        </is>
      </c>
      <c r="D523" s="5" t="inlineStr">
        <is>
          <t>ASSORTED COLOUR BIRD ORNAMENT</t>
        </is>
      </c>
      <c r="E523" s="7" t="n">
        <v>3840.86</v>
      </c>
      <c r="F523" s="8" t="n">
        <v>2366</v>
      </c>
      <c r="G523" s="8" t="n">
        <v>102</v>
      </c>
      <c r="H523" s="5" t="n">
        <v>2011</v>
      </c>
      <c r="I523" s="5" t="n">
        <v>3</v>
      </c>
    </row>
    <row r="524">
      <c r="A524" s="5" t="inlineStr">
        <is>
          <t>2011-03</t>
        </is>
      </c>
      <c r="B524" s="5" t="inlineStr">
        <is>
          <t>United Kingdom</t>
        </is>
      </c>
      <c r="C524" s="5" t="inlineStr">
        <is>
          <t>85099B</t>
        </is>
      </c>
      <c r="D524" s="5" t="inlineStr">
        <is>
          <t>JUMBO BAG RED RETROSPOT</t>
        </is>
      </c>
      <c r="E524" s="7" t="n">
        <v>9717.43</v>
      </c>
      <c r="F524" s="8" t="n">
        <v>5059</v>
      </c>
      <c r="G524" s="8" t="n">
        <v>160</v>
      </c>
      <c r="H524" s="5" t="n">
        <v>2011</v>
      </c>
      <c r="I524" s="5" t="n">
        <v>3</v>
      </c>
    </row>
    <row r="525">
      <c r="A525" s="5" t="inlineStr">
        <is>
          <t>2011-03</t>
        </is>
      </c>
      <c r="B525" s="5" t="inlineStr">
        <is>
          <t>United Kingdom</t>
        </is>
      </c>
      <c r="C525" s="5" t="inlineStr">
        <is>
          <t>85123A</t>
        </is>
      </c>
      <c r="D525" s="5" t="inlineStr">
        <is>
          <t>WHITE HANGING HEART T-LIGHT HOLDER</t>
        </is>
      </c>
      <c r="E525" s="7" t="n">
        <v>5367.8</v>
      </c>
      <c r="F525" s="8" t="n">
        <v>1920</v>
      </c>
      <c r="G525" s="8" t="n">
        <v>180</v>
      </c>
      <c r="H525" s="5" t="n">
        <v>2011</v>
      </c>
      <c r="I525" s="5" t="n">
        <v>3</v>
      </c>
    </row>
    <row r="526">
      <c r="A526" s="5" t="inlineStr">
        <is>
          <t>2011-03</t>
        </is>
      </c>
      <c r="B526" s="5" t="inlineStr">
        <is>
          <t>United Kingdom</t>
        </is>
      </c>
      <c r="C526" s="5" t="inlineStr">
        <is>
          <t>ALL OTHER PRODUCTS</t>
        </is>
      </c>
      <c r="D526" s="5" t="inlineStr">
        <is>
          <t>All other products</t>
        </is>
      </c>
      <c r="E526" s="7" t="n">
        <v>514403.81</v>
      </c>
      <c r="F526" s="8" t="n">
        <v>284798</v>
      </c>
      <c r="G526" s="8" t="n">
        <v>1288</v>
      </c>
      <c r="H526" s="5" t="n">
        <v>2011</v>
      </c>
      <c r="I526" s="5" t="n">
        <v>3</v>
      </c>
    </row>
    <row r="527">
      <c r="A527" s="5" t="inlineStr">
        <is>
          <t>2011-04</t>
        </is>
      </c>
      <c r="B527" s="5" t="inlineStr">
        <is>
          <t>Ireland (EIRE)</t>
        </is>
      </c>
      <c r="C527" s="5" t="inlineStr">
        <is>
          <t>20725</t>
        </is>
      </c>
      <c r="D527" s="5" t="inlineStr">
        <is>
          <t>LUNCH BAG RED RETROSPOT</t>
        </is>
      </c>
      <c r="E527" s="7" t="n">
        <v>16.5</v>
      </c>
      <c r="F527" s="8" t="n">
        <v>10</v>
      </c>
      <c r="G527" s="8" t="n">
        <v>1</v>
      </c>
      <c r="H527" s="5" t="n">
        <v>2011</v>
      </c>
      <c r="I527" s="5" t="n">
        <v>4</v>
      </c>
    </row>
    <row r="528">
      <c r="A528" s="5" t="inlineStr">
        <is>
          <t>2011-04</t>
        </is>
      </c>
      <c r="B528" s="5" t="inlineStr">
        <is>
          <t>Ireland (EIRE)</t>
        </is>
      </c>
      <c r="C528" s="5" t="inlineStr">
        <is>
          <t>22197</t>
        </is>
      </c>
      <c r="D528" s="5" t="inlineStr">
        <is>
          <t>SMALL POPCORN HOLDER</t>
        </is>
      </c>
      <c r="E528" s="7" t="n">
        <v>20.4</v>
      </c>
      <c r="F528" s="8" t="n">
        <v>24</v>
      </c>
      <c r="G528" s="8" t="n">
        <v>2</v>
      </c>
      <c r="H528" s="5" t="n">
        <v>2011</v>
      </c>
      <c r="I528" s="5" t="n">
        <v>4</v>
      </c>
    </row>
    <row r="529">
      <c r="A529" s="5" t="inlineStr">
        <is>
          <t>2011-04</t>
        </is>
      </c>
      <c r="B529" s="5" t="inlineStr">
        <is>
          <t>Ireland (EIRE)</t>
        </is>
      </c>
      <c r="C529" s="5" t="inlineStr">
        <is>
          <t>22423</t>
        </is>
      </c>
      <c r="D529" s="5" t="inlineStr">
        <is>
          <t>REGENCY CAKESTAND 3 TIER</t>
        </is>
      </c>
      <c r="E529" s="7" t="n">
        <v>38.25</v>
      </c>
      <c r="F529" s="8" t="n">
        <v>3</v>
      </c>
      <c r="G529" s="8" t="n">
        <v>2</v>
      </c>
      <c r="H529" s="5" t="n">
        <v>2011</v>
      </c>
      <c r="I529" s="5" t="n">
        <v>4</v>
      </c>
    </row>
    <row r="530">
      <c r="A530" s="5" t="inlineStr">
        <is>
          <t>2011-04</t>
        </is>
      </c>
      <c r="B530" s="5" t="inlineStr">
        <is>
          <t>Ireland (EIRE)</t>
        </is>
      </c>
      <c r="C530" s="5" t="inlineStr">
        <is>
          <t>47566</t>
        </is>
      </c>
      <c r="D530" s="5" t="inlineStr">
        <is>
          <t>PARTY BUNTING</t>
        </is>
      </c>
      <c r="E530" s="7" t="n">
        <v>19.8</v>
      </c>
      <c r="F530" s="8" t="n">
        <v>4</v>
      </c>
      <c r="G530" s="8" t="n">
        <v>1</v>
      </c>
      <c r="H530" s="5" t="n">
        <v>2011</v>
      </c>
      <c r="I530" s="5" t="n">
        <v>4</v>
      </c>
    </row>
    <row r="531">
      <c r="A531" s="5" t="inlineStr">
        <is>
          <t>2011-04</t>
        </is>
      </c>
      <c r="B531" s="5" t="inlineStr">
        <is>
          <t>Ireland (EIRE)</t>
        </is>
      </c>
      <c r="C531" s="5" t="inlineStr">
        <is>
          <t>85099B</t>
        </is>
      </c>
      <c r="D531" s="5" t="inlineStr">
        <is>
          <t>JUMBO BAG RED RETROSPOT</t>
        </is>
      </c>
      <c r="E531" s="7" t="n">
        <v>20.8</v>
      </c>
      <c r="F531" s="8" t="n">
        <v>10</v>
      </c>
      <c r="G531" s="8" t="n">
        <v>1</v>
      </c>
      <c r="H531" s="5" t="n">
        <v>2011</v>
      </c>
      <c r="I531" s="5" t="n">
        <v>4</v>
      </c>
    </row>
    <row r="532">
      <c r="A532" s="5" t="inlineStr">
        <is>
          <t>2011-04</t>
        </is>
      </c>
      <c r="B532" s="5" t="inlineStr">
        <is>
          <t>Ireland (EIRE)</t>
        </is>
      </c>
      <c r="C532" s="5" t="inlineStr">
        <is>
          <t>85123A</t>
        </is>
      </c>
      <c r="D532" s="5" t="inlineStr">
        <is>
          <t>WHITE HANGING HEART T-LIGHT HOLDER</t>
        </is>
      </c>
      <c r="E532" s="7" t="n">
        <v>17.7</v>
      </c>
      <c r="F532" s="8" t="n">
        <v>6</v>
      </c>
      <c r="G532" s="8" t="n">
        <v>1</v>
      </c>
      <c r="H532" s="5" t="n">
        <v>2011</v>
      </c>
      <c r="I532" s="5" t="n">
        <v>4</v>
      </c>
    </row>
    <row r="533">
      <c r="A533" s="5" t="inlineStr">
        <is>
          <t>2011-04</t>
        </is>
      </c>
      <c r="B533" s="5" t="inlineStr">
        <is>
          <t>Ireland (EIRE)</t>
        </is>
      </c>
      <c r="C533" s="5" t="inlineStr">
        <is>
          <t>ALL OTHER PRODUCTS</t>
        </is>
      </c>
      <c r="D533" s="5" t="inlineStr">
        <is>
          <t>All other products</t>
        </is>
      </c>
      <c r="E533" s="7" t="n">
        <v>7137.05</v>
      </c>
      <c r="F533" s="8" t="n">
        <v>4072</v>
      </c>
      <c r="G533" s="8" t="n">
        <v>11</v>
      </c>
      <c r="H533" s="5" t="n">
        <v>2011</v>
      </c>
      <c r="I533" s="5" t="n">
        <v>4</v>
      </c>
    </row>
    <row r="534">
      <c r="A534" s="5" t="inlineStr">
        <is>
          <t>2011-04</t>
        </is>
      </c>
      <c r="B534" s="5" t="inlineStr">
        <is>
          <t>Rest of Europe</t>
        </is>
      </c>
      <c r="C534" s="5" t="inlineStr">
        <is>
          <t>20725</t>
        </is>
      </c>
      <c r="D534" s="5" t="inlineStr">
        <is>
          <t>LUNCH BAG RED RETROSPOT</t>
        </is>
      </c>
      <c r="E534" s="7" t="n">
        <v>181.5</v>
      </c>
      <c r="F534" s="8" t="n">
        <v>110</v>
      </c>
      <c r="G534" s="8" t="n">
        <v>8</v>
      </c>
      <c r="H534" s="5" t="n">
        <v>2011</v>
      </c>
      <c r="I534" s="5" t="n">
        <v>4</v>
      </c>
    </row>
    <row r="535">
      <c r="A535" s="5" t="inlineStr">
        <is>
          <t>2011-04</t>
        </is>
      </c>
      <c r="B535" s="5" t="inlineStr">
        <is>
          <t>Rest of Europe</t>
        </is>
      </c>
      <c r="C535" s="5" t="inlineStr">
        <is>
          <t>22197</t>
        </is>
      </c>
      <c r="D535" s="5" t="inlineStr">
        <is>
          <t>SMALL POPCORN HOLDER</t>
        </is>
      </c>
      <c r="E535" s="7" t="n">
        <v>71.40000000000001</v>
      </c>
      <c r="F535" s="8" t="n">
        <v>84</v>
      </c>
      <c r="G535" s="8" t="n">
        <v>4</v>
      </c>
      <c r="H535" s="5" t="n">
        <v>2011</v>
      </c>
      <c r="I535" s="5" t="n">
        <v>4</v>
      </c>
    </row>
    <row r="536">
      <c r="A536" s="5" t="inlineStr">
        <is>
          <t>2011-04</t>
        </is>
      </c>
      <c r="B536" s="5" t="inlineStr">
        <is>
          <t>Rest of Europe</t>
        </is>
      </c>
      <c r="C536" s="5" t="inlineStr">
        <is>
          <t>22386</t>
        </is>
      </c>
      <c r="D536" s="5" t="inlineStr">
        <is>
          <t>JUMBO BAG PINK POLKADOT</t>
        </is>
      </c>
      <c r="E536" s="7" t="n">
        <v>20.8</v>
      </c>
      <c r="F536" s="8" t="n">
        <v>10</v>
      </c>
      <c r="G536" s="8" t="n">
        <v>1</v>
      </c>
      <c r="H536" s="5" t="n">
        <v>2011</v>
      </c>
      <c r="I536" s="5" t="n">
        <v>4</v>
      </c>
    </row>
    <row r="537">
      <c r="A537" s="5" t="inlineStr">
        <is>
          <t>2011-04</t>
        </is>
      </c>
      <c r="B537" s="5" t="inlineStr">
        <is>
          <t>Rest of Europe</t>
        </is>
      </c>
      <c r="C537" s="5" t="inlineStr">
        <is>
          <t>22423</t>
        </is>
      </c>
      <c r="D537" s="5" t="inlineStr">
        <is>
          <t>REGENCY CAKESTAND 3 TIER</t>
        </is>
      </c>
      <c r="E537" s="7" t="n">
        <v>618.15</v>
      </c>
      <c r="F537" s="8" t="n">
        <v>53</v>
      </c>
      <c r="G537" s="8" t="n">
        <v>10</v>
      </c>
      <c r="H537" s="5" t="n">
        <v>2011</v>
      </c>
      <c r="I537" s="5" t="n">
        <v>4</v>
      </c>
    </row>
    <row r="538">
      <c r="A538" s="5" t="inlineStr">
        <is>
          <t>2011-04</t>
        </is>
      </c>
      <c r="B538" s="5" t="inlineStr">
        <is>
          <t>Rest of Europe</t>
        </is>
      </c>
      <c r="C538" s="5" t="inlineStr">
        <is>
          <t>47566</t>
        </is>
      </c>
      <c r="D538" s="5" t="inlineStr">
        <is>
          <t>PARTY BUNTING</t>
        </is>
      </c>
      <c r="E538" s="7" t="n">
        <v>89.09999999999999</v>
      </c>
      <c r="F538" s="8" t="n">
        <v>18</v>
      </c>
      <c r="G538" s="8" t="n">
        <v>4</v>
      </c>
      <c r="H538" s="5" t="n">
        <v>2011</v>
      </c>
      <c r="I538" s="5" t="n">
        <v>4</v>
      </c>
    </row>
    <row r="539">
      <c r="A539" s="5" t="inlineStr">
        <is>
          <t>2011-04</t>
        </is>
      </c>
      <c r="B539" s="5" t="inlineStr">
        <is>
          <t>Rest of Europe</t>
        </is>
      </c>
      <c r="C539" s="5" t="inlineStr">
        <is>
          <t>84879</t>
        </is>
      </c>
      <c r="D539" s="5" t="inlineStr">
        <is>
          <t>ASSORTED COLOUR BIRD ORNAMENT</t>
        </is>
      </c>
      <c r="E539" s="7" t="n">
        <v>155.48</v>
      </c>
      <c r="F539" s="8" t="n">
        <v>92</v>
      </c>
      <c r="G539" s="8" t="n">
        <v>5</v>
      </c>
      <c r="H539" s="5" t="n">
        <v>2011</v>
      </c>
      <c r="I539" s="5" t="n">
        <v>4</v>
      </c>
    </row>
    <row r="540">
      <c r="A540" s="5" t="inlineStr">
        <is>
          <t>2011-04</t>
        </is>
      </c>
      <c r="B540" s="5" t="inlineStr">
        <is>
          <t>Rest of Europe</t>
        </is>
      </c>
      <c r="C540" s="5" t="inlineStr">
        <is>
          <t>85099B</t>
        </is>
      </c>
      <c r="D540" s="5" t="inlineStr">
        <is>
          <t>JUMBO BAG RED RETROSPOT</t>
        </is>
      </c>
      <c r="E540" s="7" t="n">
        <v>473</v>
      </c>
      <c r="F540" s="8" t="n">
        <v>270</v>
      </c>
      <c r="G540" s="8" t="n">
        <v>6</v>
      </c>
      <c r="H540" s="5" t="n">
        <v>2011</v>
      </c>
      <c r="I540" s="5" t="n">
        <v>4</v>
      </c>
    </row>
    <row r="541">
      <c r="A541" s="5" t="inlineStr">
        <is>
          <t>2011-04</t>
        </is>
      </c>
      <c r="B541" s="5" t="inlineStr">
        <is>
          <t>Rest of Europe</t>
        </is>
      </c>
      <c r="C541" s="5" t="inlineStr">
        <is>
          <t>85123A</t>
        </is>
      </c>
      <c r="D541" s="5" t="inlineStr">
        <is>
          <t>WHITE HANGING HEART T-LIGHT HOLDER</t>
        </is>
      </c>
      <c r="E541" s="7" t="n">
        <v>26.55</v>
      </c>
      <c r="F541" s="8" t="n">
        <v>9</v>
      </c>
      <c r="G541" s="8" t="n">
        <v>1</v>
      </c>
      <c r="H541" s="5" t="n">
        <v>2011</v>
      </c>
      <c r="I541" s="5" t="n">
        <v>4</v>
      </c>
    </row>
    <row r="542">
      <c r="A542" s="5" t="inlineStr">
        <is>
          <t>2011-04</t>
        </is>
      </c>
      <c r="B542" s="5" t="inlineStr">
        <is>
          <t>Rest of Europe</t>
        </is>
      </c>
      <c r="C542" s="5" t="inlineStr">
        <is>
          <t>ALL OTHER PRODUCTS</t>
        </is>
      </c>
      <c r="D542" s="5" t="inlineStr">
        <is>
          <t>All other products</t>
        </is>
      </c>
      <c r="E542" s="7" t="n">
        <v>28614.36</v>
      </c>
      <c r="F542" s="8" t="n">
        <v>16410</v>
      </c>
      <c r="G542" s="8" t="n">
        <v>67</v>
      </c>
      <c r="H542" s="5" t="n">
        <v>2011</v>
      </c>
      <c r="I542" s="5" t="n">
        <v>4</v>
      </c>
    </row>
    <row r="543">
      <c r="A543" s="5" t="inlineStr">
        <is>
          <t>2011-04</t>
        </is>
      </c>
      <c r="B543" s="5" t="inlineStr">
        <is>
          <t>Rest of World</t>
        </is>
      </c>
      <c r="C543" s="5" t="inlineStr">
        <is>
          <t>20725</t>
        </is>
      </c>
      <c r="D543" s="5" t="inlineStr">
        <is>
          <t>LUNCH BAG RED RETROSPOT</t>
        </is>
      </c>
      <c r="E543" s="7" t="n">
        <v>49.5</v>
      </c>
      <c r="F543" s="8" t="n">
        <v>30</v>
      </c>
      <c r="G543" s="8" t="n">
        <v>1</v>
      </c>
      <c r="H543" s="5" t="n">
        <v>2011</v>
      </c>
      <c r="I543" s="5" t="n">
        <v>4</v>
      </c>
    </row>
    <row r="544">
      <c r="A544" s="5" t="inlineStr">
        <is>
          <t>2011-04</t>
        </is>
      </c>
      <c r="B544" s="5" t="inlineStr">
        <is>
          <t>Rest of World</t>
        </is>
      </c>
      <c r="C544" s="5" t="inlineStr">
        <is>
          <t>22197</t>
        </is>
      </c>
      <c r="D544" s="5" t="inlineStr">
        <is>
          <t>SMALL POPCORN HOLDER</t>
        </is>
      </c>
      <c r="E544" s="7" t="n">
        <v>72</v>
      </c>
      <c r="F544" s="8" t="n">
        <v>100</v>
      </c>
      <c r="G544" s="8" t="n">
        <v>1</v>
      </c>
      <c r="H544" s="5" t="n">
        <v>2011</v>
      </c>
      <c r="I544" s="5" t="n">
        <v>4</v>
      </c>
    </row>
    <row r="545">
      <c r="A545" s="5" t="inlineStr">
        <is>
          <t>2011-04</t>
        </is>
      </c>
      <c r="B545" s="5" t="inlineStr">
        <is>
          <t>Rest of World</t>
        </is>
      </c>
      <c r="C545" s="5" t="inlineStr">
        <is>
          <t>22386</t>
        </is>
      </c>
      <c r="D545" s="5" t="inlineStr">
        <is>
          <t>JUMBO BAG PINK POLKADOT</t>
        </is>
      </c>
      <c r="E545" s="7" t="n">
        <v>41.6</v>
      </c>
      <c r="F545" s="8" t="n">
        <v>20</v>
      </c>
      <c r="G545" s="8" t="n">
        <v>1</v>
      </c>
      <c r="H545" s="5" t="n">
        <v>2011</v>
      </c>
      <c r="I545" s="5" t="n">
        <v>4</v>
      </c>
    </row>
    <row r="546">
      <c r="A546" s="5" t="inlineStr">
        <is>
          <t>2011-04</t>
        </is>
      </c>
      <c r="B546" s="5" t="inlineStr">
        <is>
          <t>Rest of World</t>
        </is>
      </c>
      <c r="C546" s="5" t="inlineStr">
        <is>
          <t>22423</t>
        </is>
      </c>
      <c r="D546" s="5" t="inlineStr">
        <is>
          <t>REGENCY CAKESTAND 3 TIER</t>
        </is>
      </c>
      <c r="E546" s="7" t="n">
        <v>328.2</v>
      </c>
      <c r="F546" s="8" t="n">
        <v>28</v>
      </c>
      <c r="G546" s="8" t="n">
        <v>3</v>
      </c>
      <c r="H546" s="5" t="n">
        <v>2011</v>
      </c>
      <c r="I546" s="5" t="n">
        <v>4</v>
      </c>
    </row>
    <row r="547">
      <c r="A547" s="5" t="inlineStr">
        <is>
          <t>2011-04</t>
        </is>
      </c>
      <c r="B547" s="5" t="inlineStr">
        <is>
          <t>Rest of World</t>
        </is>
      </c>
      <c r="C547" s="5" t="inlineStr">
        <is>
          <t>85099B</t>
        </is>
      </c>
      <c r="D547" s="5" t="inlineStr">
        <is>
          <t>JUMBO BAG RED RETROSPOT</t>
        </is>
      </c>
      <c r="E547" s="7" t="n">
        <v>41.6</v>
      </c>
      <c r="F547" s="8" t="n">
        <v>20</v>
      </c>
      <c r="G547" s="8" t="n">
        <v>1</v>
      </c>
      <c r="H547" s="5" t="n">
        <v>2011</v>
      </c>
      <c r="I547" s="5" t="n">
        <v>4</v>
      </c>
    </row>
    <row r="548">
      <c r="A548" s="5" t="inlineStr">
        <is>
          <t>2011-04</t>
        </is>
      </c>
      <c r="B548" s="5" t="inlineStr">
        <is>
          <t>Rest of World</t>
        </is>
      </c>
      <c r="C548" s="5" t="inlineStr">
        <is>
          <t>ALL OTHER PRODUCTS</t>
        </is>
      </c>
      <c r="D548" s="5" t="inlineStr">
        <is>
          <t>All other products</t>
        </is>
      </c>
      <c r="E548" s="7" t="n">
        <v>12032.23</v>
      </c>
      <c r="F548" s="8" t="n">
        <v>11005</v>
      </c>
      <c r="G548" s="8" t="n">
        <v>9</v>
      </c>
      <c r="H548" s="5" t="n">
        <v>2011</v>
      </c>
      <c r="I548" s="5" t="n">
        <v>4</v>
      </c>
    </row>
    <row r="549">
      <c r="A549" s="5" t="inlineStr">
        <is>
          <t>2011-04</t>
        </is>
      </c>
      <c r="B549" s="5" t="inlineStr">
        <is>
          <t>United Kingdom</t>
        </is>
      </c>
      <c r="C549" s="5" t="inlineStr">
        <is>
          <t>20725</t>
        </is>
      </c>
      <c r="D549" s="5" t="inlineStr">
        <is>
          <t>LUNCH BAG RED RETROSPOT</t>
        </is>
      </c>
      <c r="E549" s="7" t="n">
        <v>2159.44</v>
      </c>
      <c r="F549" s="8" t="n">
        <v>975</v>
      </c>
      <c r="G549" s="8" t="n">
        <v>101</v>
      </c>
      <c r="H549" s="5" t="n">
        <v>2011</v>
      </c>
      <c r="I549" s="5" t="n">
        <v>4</v>
      </c>
    </row>
    <row r="550">
      <c r="A550" s="5" t="inlineStr">
        <is>
          <t>2011-04</t>
        </is>
      </c>
      <c r="B550" s="5" t="inlineStr">
        <is>
          <t>United Kingdom</t>
        </is>
      </c>
      <c r="C550" s="5" t="inlineStr">
        <is>
          <t>22086</t>
        </is>
      </c>
      <c r="D550" s="5" t="inlineStr">
        <is>
          <t>PAPER CHAIN KIT 50'S CHRISTMAS</t>
        </is>
      </c>
      <c r="E550" s="7" t="n">
        <v>41.08</v>
      </c>
      <c r="F550" s="8" t="n">
        <v>12</v>
      </c>
      <c r="G550" s="8" t="n">
        <v>5</v>
      </c>
      <c r="H550" s="5" t="n">
        <v>2011</v>
      </c>
      <c r="I550" s="5" t="n">
        <v>4</v>
      </c>
    </row>
    <row r="551">
      <c r="A551" s="5" t="inlineStr">
        <is>
          <t>2011-04</t>
        </is>
      </c>
      <c r="B551" s="5" t="inlineStr">
        <is>
          <t>United Kingdom</t>
        </is>
      </c>
      <c r="C551" s="5" t="inlineStr">
        <is>
          <t>22197</t>
        </is>
      </c>
      <c r="D551" s="5" t="inlineStr">
        <is>
          <t>SMALL POPCORN HOLDER</t>
        </is>
      </c>
      <c r="E551" s="7" t="n">
        <v>1331.77</v>
      </c>
      <c r="F551" s="8" t="n">
        <v>1661</v>
      </c>
      <c r="G551" s="8" t="n">
        <v>67</v>
      </c>
      <c r="H551" s="5" t="n">
        <v>2011</v>
      </c>
      <c r="I551" s="5" t="n">
        <v>4</v>
      </c>
    </row>
    <row r="552">
      <c r="A552" s="5" t="inlineStr">
        <is>
          <t>2011-04</t>
        </is>
      </c>
      <c r="B552" s="5" t="inlineStr">
        <is>
          <t>United Kingdom</t>
        </is>
      </c>
      <c r="C552" s="5" t="inlineStr">
        <is>
          <t>22386</t>
        </is>
      </c>
      <c r="D552" s="5" t="inlineStr">
        <is>
          <t>JUMBO BAG PINK POLKADOT</t>
        </is>
      </c>
      <c r="E552" s="7" t="n">
        <v>1254.06</v>
      </c>
      <c r="F552" s="8" t="n">
        <v>562</v>
      </c>
      <c r="G552" s="8" t="n">
        <v>78</v>
      </c>
      <c r="H552" s="5" t="n">
        <v>2011</v>
      </c>
      <c r="I552" s="5" t="n">
        <v>4</v>
      </c>
    </row>
    <row r="553">
      <c r="A553" s="5" t="inlineStr">
        <is>
          <t>2011-04</t>
        </is>
      </c>
      <c r="B553" s="5" t="inlineStr">
        <is>
          <t>United Kingdom</t>
        </is>
      </c>
      <c r="C553" s="5" t="inlineStr">
        <is>
          <t>22423</t>
        </is>
      </c>
      <c r="D553" s="5" t="inlineStr">
        <is>
          <t>REGENCY CAKESTAND 3 TIER</t>
        </is>
      </c>
      <c r="E553" s="7" t="n">
        <v>13828.35</v>
      </c>
      <c r="F553" s="8" t="n">
        <v>1111</v>
      </c>
      <c r="G553" s="8" t="n">
        <v>161</v>
      </c>
      <c r="H553" s="5" t="n">
        <v>2011</v>
      </c>
      <c r="I553" s="5" t="n">
        <v>4</v>
      </c>
    </row>
    <row r="554">
      <c r="A554" s="5" t="inlineStr">
        <is>
          <t>2011-04</t>
        </is>
      </c>
      <c r="B554" s="5" t="inlineStr">
        <is>
          <t>United Kingdom</t>
        </is>
      </c>
      <c r="C554" s="5" t="inlineStr">
        <is>
          <t>47566</t>
        </is>
      </c>
      <c r="D554" s="5" t="inlineStr">
        <is>
          <t>PARTY BUNTING</t>
        </is>
      </c>
      <c r="E554" s="7" t="n">
        <v>10669.57</v>
      </c>
      <c r="F554" s="8" t="n">
        <v>1915</v>
      </c>
      <c r="G554" s="8" t="n">
        <v>188</v>
      </c>
      <c r="H554" s="5" t="n">
        <v>2011</v>
      </c>
      <c r="I554" s="5" t="n">
        <v>4</v>
      </c>
    </row>
    <row r="555">
      <c r="A555" s="5" t="inlineStr">
        <is>
          <t>2011-04</t>
        </is>
      </c>
      <c r="B555" s="5" t="inlineStr">
        <is>
          <t>United Kingdom</t>
        </is>
      </c>
      <c r="C555" s="5" t="inlineStr">
        <is>
          <t>79321</t>
        </is>
      </c>
      <c r="D555" s="5" t="inlineStr">
        <is>
          <t>CHILLI LIGHTS</t>
        </is>
      </c>
      <c r="E555" s="7" t="n">
        <v>357.5</v>
      </c>
      <c r="F555" s="8" t="n">
        <v>33</v>
      </c>
      <c r="G555" s="8" t="n">
        <v>8</v>
      </c>
      <c r="H555" s="5" t="n">
        <v>2011</v>
      </c>
      <c r="I555" s="5" t="n">
        <v>4</v>
      </c>
    </row>
    <row r="556">
      <c r="A556" s="5" t="inlineStr">
        <is>
          <t>2011-04</t>
        </is>
      </c>
      <c r="B556" s="5" t="inlineStr">
        <is>
          <t>United Kingdom</t>
        </is>
      </c>
      <c r="C556" s="5" t="inlineStr">
        <is>
          <t>84347</t>
        </is>
      </c>
      <c r="D556" s="5" t="inlineStr">
        <is>
          <t>ROTATING SILVER ANGELS T-LIGHT HLDR</t>
        </is>
      </c>
      <c r="E556" s="7" t="n">
        <v>27.35</v>
      </c>
      <c r="F556" s="8" t="n">
        <v>6</v>
      </c>
      <c r="G556" s="8" t="n">
        <v>3</v>
      </c>
      <c r="H556" s="5" t="n">
        <v>2011</v>
      </c>
      <c r="I556" s="5" t="n">
        <v>4</v>
      </c>
    </row>
    <row r="557">
      <c r="A557" s="5" t="inlineStr">
        <is>
          <t>2011-04</t>
        </is>
      </c>
      <c r="B557" s="5" t="inlineStr">
        <is>
          <t>United Kingdom</t>
        </is>
      </c>
      <c r="C557" s="5" t="inlineStr">
        <is>
          <t>84879</t>
        </is>
      </c>
      <c r="D557" s="5" t="inlineStr">
        <is>
          <t>ASSORTED COLOUR BIRD ORNAMENT</t>
        </is>
      </c>
      <c r="E557" s="7" t="n">
        <v>4018.76</v>
      </c>
      <c r="F557" s="8" t="n">
        <v>2468</v>
      </c>
      <c r="G557" s="8" t="n">
        <v>114</v>
      </c>
      <c r="H557" s="5" t="n">
        <v>2011</v>
      </c>
      <c r="I557" s="5" t="n">
        <v>4</v>
      </c>
    </row>
    <row r="558">
      <c r="A558" s="5" t="inlineStr">
        <is>
          <t>2011-04</t>
        </is>
      </c>
      <c r="B558" s="5" t="inlineStr">
        <is>
          <t>United Kingdom</t>
        </is>
      </c>
      <c r="C558" s="5" t="inlineStr">
        <is>
          <t>85099B</t>
        </is>
      </c>
      <c r="D558" s="5" t="inlineStr">
        <is>
          <t>JUMBO BAG RED RETROSPOT</t>
        </is>
      </c>
      <c r="E558" s="7" t="n">
        <v>4342.68</v>
      </c>
      <c r="F558" s="8" t="n">
        <v>2156</v>
      </c>
      <c r="G558" s="8" t="n">
        <v>114</v>
      </c>
      <c r="H558" s="5" t="n">
        <v>2011</v>
      </c>
      <c r="I558" s="5" t="n">
        <v>4</v>
      </c>
    </row>
    <row r="559">
      <c r="A559" s="5" t="inlineStr">
        <is>
          <t>2011-04</t>
        </is>
      </c>
      <c r="B559" s="5" t="inlineStr">
        <is>
          <t>United Kingdom</t>
        </is>
      </c>
      <c r="C559" s="5" t="inlineStr">
        <is>
          <t>85123A</t>
        </is>
      </c>
      <c r="D559" s="5" t="inlineStr">
        <is>
          <t>WHITE HANGING HEART T-LIGHT HOLDER</t>
        </is>
      </c>
      <c r="E559" s="7" t="n">
        <v>9973.540000000001</v>
      </c>
      <c r="F559" s="8" t="n">
        <v>3828</v>
      </c>
      <c r="G559" s="8" t="n">
        <v>173</v>
      </c>
      <c r="H559" s="5" t="n">
        <v>2011</v>
      </c>
      <c r="I559" s="5" t="n">
        <v>4</v>
      </c>
    </row>
    <row r="560">
      <c r="A560" s="5" t="inlineStr">
        <is>
          <t>2011-04</t>
        </is>
      </c>
      <c r="B560" s="5" t="inlineStr">
        <is>
          <t>United Kingdom</t>
        </is>
      </c>
      <c r="C560" s="5" t="inlineStr">
        <is>
          <t>ALL OTHER PRODUCTS</t>
        </is>
      </c>
      <c r="D560" s="5" t="inlineStr">
        <is>
          <t>All other products</t>
        </is>
      </c>
      <c r="E560" s="7" t="n">
        <v>417287.92</v>
      </c>
      <c r="F560" s="8" t="n">
        <v>260535</v>
      </c>
      <c r="G560" s="8" t="n">
        <v>1136</v>
      </c>
      <c r="H560" s="5" t="n">
        <v>2011</v>
      </c>
      <c r="I560" s="5" t="n">
        <v>4</v>
      </c>
    </row>
    <row r="561">
      <c r="A561" s="5" t="inlineStr">
        <is>
          <t>2011-05</t>
        </is>
      </c>
      <c r="B561" s="5" t="inlineStr">
        <is>
          <t>Ireland (EIRE)</t>
        </is>
      </c>
      <c r="C561" s="5" t="inlineStr">
        <is>
          <t>20725</t>
        </is>
      </c>
      <c r="D561" s="5" t="inlineStr">
        <is>
          <t>LUNCH BAG RED RETROSPOT</t>
        </is>
      </c>
      <c r="E561" s="7" t="n">
        <v>115.5</v>
      </c>
      <c r="F561" s="8" t="n">
        <v>70</v>
      </c>
      <c r="G561" s="8" t="n">
        <v>3</v>
      </c>
      <c r="H561" s="5" t="n">
        <v>2011</v>
      </c>
      <c r="I561" s="5" t="n">
        <v>5</v>
      </c>
    </row>
    <row r="562">
      <c r="A562" s="5" t="inlineStr">
        <is>
          <t>2011-05</t>
        </is>
      </c>
      <c r="B562" s="5" t="inlineStr">
        <is>
          <t>Ireland (EIRE)</t>
        </is>
      </c>
      <c r="C562" s="5" t="inlineStr">
        <is>
          <t>22197</t>
        </is>
      </c>
      <c r="D562" s="5" t="inlineStr">
        <is>
          <t>SMALL POPCORN HOLDER</t>
        </is>
      </c>
      <c r="E562" s="7" t="n">
        <v>81.59999999999999</v>
      </c>
      <c r="F562" s="8" t="n">
        <v>96</v>
      </c>
      <c r="G562" s="8" t="n">
        <v>2</v>
      </c>
      <c r="H562" s="5" t="n">
        <v>2011</v>
      </c>
      <c r="I562" s="5" t="n">
        <v>5</v>
      </c>
    </row>
    <row r="563">
      <c r="A563" s="5" t="inlineStr">
        <is>
          <t>2011-05</t>
        </is>
      </c>
      <c r="B563" s="5" t="inlineStr">
        <is>
          <t>Ireland (EIRE)</t>
        </is>
      </c>
      <c r="C563" s="5" t="inlineStr">
        <is>
          <t>22423</t>
        </is>
      </c>
      <c r="D563" s="5" t="inlineStr">
        <is>
          <t>REGENCY CAKESTAND 3 TIER</t>
        </is>
      </c>
      <c r="E563" s="7" t="n">
        <v>955.8</v>
      </c>
      <c r="F563" s="8" t="n">
        <v>84</v>
      </c>
      <c r="G563" s="8" t="n">
        <v>9</v>
      </c>
      <c r="H563" s="5" t="n">
        <v>2011</v>
      </c>
      <c r="I563" s="5" t="n">
        <v>5</v>
      </c>
    </row>
    <row r="564">
      <c r="A564" s="5" t="inlineStr">
        <is>
          <t>2011-05</t>
        </is>
      </c>
      <c r="B564" s="5" t="inlineStr">
        <is>
          <t>Ireland (EIRE)</t>
        </is>
      </c>
      <c r="C564" s="5" t="inlineStr">
        <is>
          <t>47566</t>
        </is>
      </c>
      <c r="D564" s="5" t="inlineStr">
        <is>
          <t>PARTY BUNTING</t>
        </is>
      </c>
      <c r="E564" s="7" t="n">
        <v>286.7</v>
      </c>
      <c r="F564" s="8" t="n">
        <v>66</v>
      </c>
      <c r="G564" s="8" t="n">
        <v>4</v>
      </c>
      <c r="H564" s="5" t="n">
        <v>2011</v>
      </c>
      <c r="I564" s="5" t="n">
        <v>5</v>
      </c>
    </row>
    <row r="565">
      <c r="A565" s="5" t="inlineStr">
        <is>
          <t>2011-05</t>
        </is>
      </c>
      <c r="B565" s="5" t="inlineStr">
        <is>
          <t>Ireland (EIRE)</t>
        </is>
      </c>
      <c r="C565" s="5" t="inlineStr">
        <is>
          <t>79321</t>
        </is>
      </c>
      <c r="D565" s="5" t="inlineStr">
        <is>
          <t>CHILLI LIGHTS</t>
        </is>
      </c>
      <c r="E565" s="7" t="n">
        <v>23</v>
      </c>
      <c r="F565" s="8" t="n">
        <v>4</v>
      </c>
      <c r="G565" s="8" t="n">
        <v>1</v>
      </c>
      <c r="H565" s="5" t="n">
        <v>2011</v>
      </c>
      <c r="I565" s="5" t="n">
        <v>5</v>
      </c>
    </row>
    <row r="566">
      <c r="A566" s="5" t="inlineStr">
        <is>
          <t>2011-05</t>
        </is>
      </c>
      <c r="B566" s="5" t="inlineStr">
        <is>
          <t>Ireland (EIRE)</t>
        </is>
      </c>
      <c r="C566" s="5" t="inlineStr">
        <is>
          <t>84879</t>
        </is>
      </c>
      <c r="D566" s="5" t="inlineStr">
        <is>
          <t>ASSORTED COLOUR BIRD ORNAMENT</t>
        </is>
      </c>
      <c r="E566" s="7" t="n">
        <v>67.59999999999999</v>
      </c>
      <c r="F566" s="8" t="n">
        <v>40</v>
      </c>
      <c r="G566" s="8" t="n">
        <v>2</v>
      </c>
      <c r="H566" s="5" t="n">
        <v>2011</v>
      </c>
      <c r="I566" s="5" t="n">
        <v>5</v>
      </c>
    </row>
    <row r="567">
      <c r="A567" s="5" t="inlineStr">
        <is>
          <t>2011-05</t>
        </is>
      </c>
      <c r="B567" s="5" t="inlineStr">
        <is>
          <t>Ireland (EIRE)</t>
        </is>
      </c>
      <c r="C567" s="5" t="inlineStr">
        <is>
          <t>85123A</t>
        </is>
      </c>
      <c r="D567" s="5" t="inlineStr">
        <is>
          <t>WHITE HANGING HEART T-LIGHT HOLDER</t>
        </is>
      </c>
      <c r="E567" s="7" t="n">
        <v>240.9</v>
      </c>
      <c r="F567" s="8" t="n">
        <v>86</v>
      </c>
      <c r="G567" s="8" t="n">
        <v>6</v>
      </c>
      <c r="H567" s="5" t="n">
        <v>2011</v>
      </c>
      <c r="I567" s="5" t="n">
        <v>5</v>
      </c>
    </row>
    <row r="568">
      <c r="A568" s="5" t="inlineStr">
        <is>
          <t>2011-05</t>
        </is>
      </c>
      <c r="B568" s="5" t="inlineStr">
        <is>
          <t>Ireland (EIRE)</t>
        </is>
      </c>
      <c r="C568" s="5" t="inlineStr">
        <is>
          <t>ALL OTHER PRODUCTS</t>
        </is>
      </c>
      <c r="D568" s="5" t="inlineStr">
        <is>
          <t>All other products</t>
        </is>
      </c>
      <c r="E568" s="7" t="n">
        <v>15982.62</v>
      </c>
      <c r="F568" s="8" t="n">
        <v>7565</v>
      </c>
      <c r="G568" s="8" t="n">
        <v>22</v>
      </c>
      <c r="H568" s="5" t="n">
        <v>2011</v>
      </c>
      <c r="I568" s="5" t="n">
        <v>5</v>
      </c>
    </row>
    <row r="569">
      <c r="A569" s="5" t="inlineStr">
        <is>
          <t>2011-05</t>
        </is>
      </c>
      <c r="B569" s="5" t="inlineStr">
        <is>
          <t>Rest of Europe</t>
        </is>
      </c>
      <c r="C569" s="5" t="inlineStr">
        <is>
          <t>20725</t>
        </is>
      </c>
      <c r="D569" s="5" t="inlineStr">
        <is>
          <t>LUNCH BAG RED RETROSPOT</t>
        </is>
      </c>
      <c r="E569" s="7" t="n">
        <v>1112.75</v>
      </c>
      <c r="F569" s="8" t="n">
        <v>735</v>
      </c>
      <c r="G569" s="8" t="n">
        <v>19</v>
      </c>
      <c r="H569" s="5" t="n">
        <v>2011</v>
      </c>
      <c r="I569" s="5" t="n">
        <v>5</v>
      </c>
    </row>
    <row r="570">
      <c r="A570" s="5" t="inlineStr">
        <is>
          <t>2011-05</t>
        </is>
      </c>
      <c r="B570" s="5" t="inlineStr">
        <is>
          <t>Rest of Europe</t>
        </is>
      </c>
      <c r="C570" s="5" t="inlineStr">
        <is>
          <t>22197</t>
        </is>
      </c>
      <c r="D570" s="5" t="inlineStr">
        <is>
          <t>SMALL POPCORN HOLDER</t>
        </is>
      </c>
      <c r="E570" s="7" t="n">
        <v>20.4</v>
      </c>
      <c r="F570" s="8" t="n">
        <v>24</v>
      </c>
      <c r="G570" s="8" t="n">
        <v>1</v>
      </c>
      <c r="H570" s="5" t="n">
        <v>2011</v>
      </c>
      <c r="I570" s="5" t="n">
        <v>5</v>
      </c>
    </row>
    <row r="571">
      <c r="A571" s="5" t="inlineStr">
        <is>
          <t>2011-05</t>
        </is>
      </c>
      <c r="B571" s="5" t="inlineStr">
        <is>
          <t>Rest of Europe</t>
        </is>
      </c>
      <c r="C571" s="5" t="inlineStr">
        <is>
          <t>22386</t>
        </is>
      </c>
      <c r="D571" s="5" t="inlineStr">
        <is>
          <t>JUMBO BAG PINK POLKADOT</t>
        </is>
      </c>
      <c r="E571" s="7" t="n">
        <v>62.4</v>
      </c>
      <c r="F571" s="8" t="n">
        <v>30</v>
      </c>
      <c r="G571" s="8" t="n">
        <v>3</v>
      </c>
      <c r="H571" s="5" t="n">
        <v>2011</v>
      </c>
      <c r="I571" s="5" t="n">
        <v>5</v>
      </c>
    </row>
    <row r="572">
      <c r="A572" s="5" t="inlineStr">
        <is>
          <t>2011-05</t>
        </is>
      </c>
      <c r="B572" s="5" t="inlineStr">
        <is>
          <t>Rest of Europe</t>
        </is>
      </c>
      <c r="C572" s="5" t="inlineStr">
        <is>
          <t>22423</t>
        </is>
      </c>
      <c r="D572" s="5" t="inlineStr">
        <is>
          <t>REGENCY CAKESTAND 3 TIER</t>
        </is>
      </c>
      <c r="E572" s="7" t="n">
        <v>1395.45</v>
      </c>
      <c r="F572" s="8" t="n">
        <v>123</v>
      </c>
      <c r="G572" s="8" t="n">
        <v>16</v>
      </c>
      <c r="H572" s="5" t="n">
        <v>2011</v>
      </c>
      <c r="I572" s="5" t="n">
        <v>5</v>
      </c>
    </row>
    <row r="573">
      <c r="A573" s="5" t="inlineStr">
        <is>
          <t>2011-05</t>
        </is>
      </c>
      <c r="B573" s="5" t="inlineStr">
        <is>
          <t>Rest of Europe</t>
        </is>
      </c>
      <c r="C573" s="5" t="inlineStr">
        <is>
          <t>23166</t>
        </is>
      </c>
      <c r="D573" s="5" t="inlineStr">
        <is>
          <t>MEDIUM CERAMIC TOP STORAGE JAR</t>
        </is>
      </c>
      <c r="E573" s="7" t="n">
        <v>129.84</v>
      </c>
      <c r="F573" s="8" t="n">
        <v>120</v>
      </c>
      <c r="G573" s="8" t="n">
        <v>3</v>
      </c>
      <c r="H573" s="5" t="n">
        <v>2011</v>
      </c>
      <c r="I573" s="5" t="n">
        <v>5</v>
      </c>
    </row>
    <row r="574">
      <c r="A574" s="5" t="inlineStr">
        <is>
          <t>2011-05</t>
        </is>
      </c>
      <c r="B574" s="5" t="inlineStr">
        <is>
          <t>Rest of Europe</t>
        </is>
      </c>
      <c r="C574" s="5" t="inlineStr">
        <is>
          <t>47566</t>
        </is>
      </c>
      <c r="D574" s="5" t="inlineStr">
        <is>
          <t>PARTY BUNTING</t>
        </is>
      </c>
      <c r="E574" s="7" t="n">
        <v>178.2</v>
      </c>
      <c r="F574" s="8" t="n">
        <v>36</v>
      </c>
      <c r="G574" s="8" t="n">
        <v>4</v>
      </c>
      <c r="H574" s="5" t="n">
        <v>2011</v>
      </c>
      <c r="I574" s="5" t="n">
        <v>5</v>
      </c>
    </row>
    <row r="575">
      <c r="A575" s="5" t="inlineStr">
        <is>
          <t>2011-05</t>
        </is>
      </c>
      <c r="B575" s="5" t="inlineStr">
        <is>
          <t>Rest of Europe</t>
        </is>
      </c>
      <c r="C575" s="5" t="inlineStr">
        <is>
          <t>84879</t>
        </is>
      </c>
      <c r="D575" s="5" t="inlineStr">
        <is>
          <t>ASSORTED COLOUR BIRD ORNAMENT</t>
        </is>
      </c>
      <c r="E575" s="7" t="n">
        <v>883.12</v>
      </c>
      <c r="F575" s="8" t="n">
        <v>568</v>
      </c>
      <c r="G575" s="8" t="n">
        <v>7</v>
      </c>
      <c r="H575" s="5" t="n">
        <v>2011</v>
      </c>
      <c r="I575" s="5" t="n">
        <v>5</v>
      </c>
    </row>
    <row r="576">
      <c r="A576" s="5" t="inlineStr">
        <is>
          <t>2011-05</t>
        </is>
      </c>
      <c r="B576" s="5" t="inlineStr">
        <is>
          <t>Rest of Europe</t>
        </is>
      </c>
      <c r="C576" s="5" t="inlineStr">
        <is>
          <t>85099B</t>
        </is>
      </c>
      <c r="D576" s="5" t="inlineStr">
        <is>
          <t>JUMBO BAG RED RETROSPOT</t>
        </is>
      </c>
      <c r="E576" s="7" t="n">
        <v>586.8</v>
      </c>
      <c r="F576" s="8" t="n">
        <v>310</v>
      </c>
      <c r="G576" s="8" t="n">
        <v>9</v>
      </c>
      <c r="H576" s="5" t="n">
        <v>2011</v>
      </c>
      <c r="I576" s="5" t="n">
        <v>5</v>
      </c>
    </row>
    <row r="577">
      <c r="A577" s="5" t="inlineStr">
        <is>
          <t>2011-05</t>
        </is>
      </c>
      <c r="B577" s="5" t="inlineStr">
        <is>
          <t>Rest of Europe</t>
        </is>
      </c>
      <c r="C577" s="5" t="inlineStr">
        <is>
          <t>ALL OTHER PRODUCTS</t>
        </is>
      </c>
      <c r="D577" s="5" t="inlineStr">
        <is>
          <t>All other products</t>
        </is>
      </c>
      <c r="E577" s="7" t="n">
        <v>80554.11</v>
      </c>
      <c r="F577" s="8" t="n">
        <v>51156</v>
      </c>
      <c r="G577" s="8" t="n">
        <v>117</v>
      </c>
      <c r="H577" s="5" t="n">
        <v>2011</v>
      </c>
      <c r="I577" s="5" t="n">
        <v>5</v>
      </c>
    </row>
    <row r="578">
      <c r="A578" s="5" t="inlineStr">
        <is>
          <t>2011-05</t>
        </is>
      </c>
      <c r="B578" s="5" t="inlineStr">
        <is>
          <t>Rest of World</t>
        </is>
      </c>
      <c r="C578" s="5" t="inlineStr">
        <is>
          <t>20725</t>
        </is>
      </c>
      <c r="D578" s="5" t="inlineStr">
        <is>
          <t>LUNCH BAG RED RETROSPOT</t>
        </is>
      </c>
      <c r="E578" s="7" t="n">
        <v>82.5</v>
      </c>
      <c r="F578" s="8" t="n">
        <v>50</v>
      </c>
      <c r="G578" s="8" t="n">
        <v>1</v>
      </c>
      <c r="H578" s="5" t="n">
        <v>2011</v>
      </c>
      <c r="I578" s="5" t="n">
        <v>5</v>
      </c>
    </row>
    <row r="579">
      <c r="A579" s="5" t="inlineStr">
        <is>
          <t>2011-05</t>
        </is>
      </c>
      <c r="B579" s="5" t="inlineStr">
        <is>
          <t>Rest of World</t>
        </is>
      </c>
      <c r="C579" s="5" t="inlineStr">
        <is>
          <t>22423</t>
        </is>
      </c>
      <c r="D579" s="5" t="inlineStr">
        <is>
          <t>REGENCY CAKESTAND 3 TIER</t>
        </is>
      </c>
      <c r="E579" s="7" t="n">
        <v>25.5</v>
      </c>
      <c r="F579" s="8" t="n">
        <v>2</v>
      </c>
      <c r="G579" s="8" t="n">
        <v>1</v>
      </c>
      <c r="H579" s="5" t="n">
        <v>2011</v>
      </c>
      <c r="I579" s="5" t="n">
        <v>5</v>
      </c>
    </row>
    <row r="580">
      <c r="A580" s="5" t="inlineStr">
        <is>
          <t>2011-05</t>
        </is>
      </c>
      <c r="B580" s="5" t="inlineStr">
        <is>
          <t>Rest of World</t>
        </is>
      </c>
      <c r="C580" s="5" t="inlineStr">
        <is>
          <t>47566</t>
        </is>
      </c>
      <c r="D580" s="5" t="inlineStr">
        <is>
          <t>PARTY BUNTING</t>
        </is>
      </c>
      <c r="E580" s="7" t="n">
        <v>415</v>
      </c>
      <c r="F580" s="8" t="n">
        <v>100</v>
      </c>
      <c r="G580" s="8" t="n">
        <v>1</v>
      </c>
      <c r="H580" s="5" t="n">
        <v>2011</v>
      </c>
      <c r="I580" s="5" t="n">
        <v>5</v>
      </c>
    </row>
    <row r="581">
      <c r="A581" s="5" t="inlineStr">
        <is>
          <t>2011-05</t>
        </is>
      </c>
      <c r="B581" s="5" t="inlineStr">
        <is>
          <t>Rest of World</t>
        </is>
      </c>
      <c r="C581" s="5" t="inlineStr">
        <is>
          <t>84879</t>
        </is>
      </c>
      <c r="D581" s="5" t="inlineStr">
        <is>
          <t>ASSORTED COLOUR BIRD ORNAMENT</t>
        </is>
      </c>
      <c r="E581" s="7" t="n">
        <v>27.04</v>
      </c>
      <c r="F581" s="8" t="n">
        <v>16</v>
      </c>
      <c r="G581" s="8" t="n">
        <v>1</v>
      </c>
      <c r="H581" s="5" t="n">
        <v>2011</v>
      </c>
      <c r="I581" s="5" t="n">
        <v>5</v>
      </c>
    </row>
    <row r="582">
      <c r="A582" s="5" t="inlineStr">
        <is>
          <t>2011-05</t>
        </is>
      </c>
      <c r="B582" s="5" t="inlineStr">
        <is>
          <t>Rest of World</t>
        </is>
      </c>
      <c r="C582" s="5" t="inlineStr">
        <is>
          <t>ALL OTHER PRODUCTS</t>
        </is>
      </c>
      <c r="D582" s="5" t="inlineStr">
        <is>
          <t>All other products</t>
        </is>
      </c>
      <c r="E582" s="7" t="n">
        <v>18544.49</v>
      </c>
      <c r="F582" s="8" t="n">
        <v>12403</v>
      </c>
      <c r="G582" s="8" t="n">
        <v>11</v>
      </c>
      <c r="H582" s="5" t="n">
        <v>2011</v>
      </c>
      <c r="I582" s="5" t="n">
        <v>5</v>
      </c>
    </row>
    <row r="583">
      <c r="A583" s="5" t="inlineStr">
        <is>
          <t>2011-05</t>
        </is>
      </c>
      <c r="B583" s="5" t="inlineStr">
        <is>
          <t>United Kingdom</t>
        </is>
      </c>
      <c r="C583" s="5" t="inlineStr">
        <is>
          <t>20725</t>
        </is>
      </c>
      <c r="D583" s="5" t="inlineStr">
        <is>
          <t>LUNCH BAG RED RETROSPOT</t>
        </is>
      </c>
      <c r="E583" s="7" t="n">
        <v>2866.43</v>
      </c>
      <c r="F583" s="8" t="n">
        <v>1500</v>
      </c>
      <c r="G583" s="8" t="n">
        <v>127</v>
      </c>
      <c r="H583" s="5" t="n">
        <v>2011</v>
      </c>
      <c r="I583" s="5" t="n">
        <v>5</v>
      </c>
    </row>
    <row r="584">
      <c r="A584" s="5" t="inlineStr">
        <is>
          <t>2011-05</t>
        </is>
      </c>
      <c r="B584" s="5" t="inlineStr">
        <is>
          <t>United Kingdom</t>
        </is>
      </c>
      <c r="C584" s="5" t="inlineStr">
        <is>
          <t>22086</t>
        </is>
      </c>
      <c r="D584" s="5" t="inlineStr">
        <is>
          <t>PAPER CHAIN KIT 50'S CHRISTMAS</t>
        </is>
      </c>
      <c r="E584" s="7" t="n">
        <v>65.19</v>
      </c>
      <c r="F584" s="8" t="n">
        <v>17</v>
      </c>
      <c r="G584" s="8" t="n">
        <v>3</v>
      </c>
      <c r="H584" s="5" t="n">
        <v>2011</v>
      </c>
      <c r="I584" s="5" t="n">
        <v>5</v>
      </c>
    </row>
    <row r="585">
      <c r="A585" s="5" t="inlineStr">
        <is>
          <t>2011-05</t>
        </is>
      </c>
      <c r="B585" s="5" t="inlineStr">
        <is>
          <t>United Kingdom</t>
        </is>
      </c>
      <c r="C585" s="5" t="inlineStr">
        <is>
          <t>22197</t>
        </is>
      </c>
      <c r="D585" s="5" t="inlineStr">
        <is>
          <t>SMALL POPCORN HOLDER</t>
        </is>
      </c>
      <c r="E585" s="7" t="n">
        <v>5042.83</v>
      </c>
      <c r="F585" s="8" t="n">
        <v>6721</v>
      </c>
      <c r="G585" s="8" t="n">
        <v>100</v>
      </c>
      <c r="H585" s="5" t="n">
        <v>2011</v>
      </c>
      <c r="I585" s="5" t="n">
        <v>5</v>
      </c>
    </row>
    <row r="586">
      <c r="A586" s="5" t="inlineStr">
        <is>
          <t>2011-05</t>
        </is>
      </c>
      <c r="B586" s="5" t="inlineStr">
        <is>
          <t>United Kingdom</t>
        </is>
      </c>
      <c r="C586" s="5" t="inlineStr">
        <is>
          <t>22386</t>
        </is>
      </c>
      <c r="D586" s="5" t="inlineStr">
        <is>
          <t>JUMBO BAG PINK POLKADOT</t>
        </is>
      </c>
      <c r="E586" s="7" t="n">
        <v>2882.55</v>
      </c>
      <c r="F586" s="8" t="n">
        <v>1395</v>
      </c>
      <c r="G586" s="8" t="n">
        <v>113</v>
      </c>
      <c r="H586" s="5" t="n">
        <v>2011</v>
      </c>
      <c r="I586" s="5" t="n">
        <v>5</v>
      </c>
    </row>
    <row r="587">
      <c r="A587" s="5" t="inlineStr">
        <is>
          <t>2011-05</t>
        </is>
      </c>
      <c r="B587" s="5" t="inlineStr">
        <is>
          <t>United Kingdom</t>
        </is>
      </c>
      <c r="C587" s="5" t="inlineStr">
        <is>
          <t>22423</t>
        </is>
      </c>
      <c r="D587" s="5" t="inlineStr">
        <is>
          <t>REGENCY CAKESTAND 3 TIER</t>
        </is>
      </c>
      <c r="E587" s="7" t="n">
        <v>10269.22</v>
      </c>
      <c r="F587" s="8" t="n">
        <v>853</v>
      </c>
      <c r="G587" s="8" t="n">
        <v>166</v>
      </c>
      <c r="H587" s="5" t="n">
        <v>2011</v>
      </c>
      <c r="I587" s="5" t="n">
        <v>5</v>
      </c>
    </row>
    <row r="588">
      <c r="A588" s="5" t="inlineStr">
        <is>
          <t>2011-05</t>
        </is>
      </c>
      <c r="B588" s="5" t="inlineStr">
        <is>
          <t>United Kingdom</t>
        </is>
      </c>
      <c r="C588" s="5" t="inlineStr">
        <is>
          <t>23166</t>
        </is>
      </c>
      <c r="D588" s="5" t="inlineStr">
        <is>
          <t>MEDIUM CERAMIC TOP STORAGE JAR</t>
        </is>
      </c>
      <c r="E588" s="7" t="n">
        <v>761.34</v>
      </c>
      <c r="F588" s="8" t="n">
        <v>681</v>
      </c>
      <c r="G588" s="8" t="n">
        <v>32</v>
      </c>
      <c r="H588" s="5" t="n">
        <v>2011</v>
      </c>
      <c r="I588" s="5" t="n">
        <v>5</v>
      </c>
    </row>
    <row r="589">
      <c r="A589" s="5" t="inlineStr">
        <is>
          <t>2011-05</t>
        </is>
      </c>
      <c r="B589" s="5" t="inlineStr">
        <is>
          <t>United Kingdom</t>
        </is>
      </c>
      <c r="C589" s="5" t="inlineStr">
        <is>
          <t>47566</t>
        </is>
      </c>
      <c r="D589" s="5" t="inlineStr">
        <is>
          <t>PARTY BUNTING</t>
        </is>
      </c>
      <c r="E589" s="7" t="n">
        <v>18238.15</v>
      </c>
      <c r="F589" s="8" t="n">
        <v>3353</v>
      </c>
      <c r="G589" s="8" t="n">
        <v>233</v>
      </c>
      <c r="H589" s="5" t="n">
        <v>2011</v>
      </c>
      <c r="I589" s="5" t="n">
        <v>5</v>
      </c>
    </row>
    <row r="590">
      <c r="A590" s="5" t="inlineStr">
        <is>
          <t>2011-05</t>
        </is>
      </c>
      <c r="B590" s="5" t="inlineStr">
        <is>
          <t>United Kingdom</t>
        </is>
      </c>
      <c r="C590" s="5" t="inlineStr">
        <is>
          <t>79321</t>
        </is>
      </c>
      <c r="D590" s="5" t="inlineStr">
        <is>
          <t>CHILLI LIGHTS</t>
        </is>
      </c>
      <c r="E590" s="7" t="n">
        <v>2273.75</v>
      </c>
      <c r="F590" s="8" t="n">
        <v>418</v>
      </c>
      <c r="G590" s="8" t="n">
        <v>41</v>
      </c>
      <c r="H590" s="5" t="n">
        <v>2011</v>
      </c>
      <c r="I590" s="5" t="n">
        <v>5</v>
      </c>
    </row>
    <row r="591">
      <c r="A591" s="5" t="inlineStr">
        <is>
          <t>2011-05</t>
        </is>
      </c>
      <c r="B591" s="5" t="inlineStr">
        <is>
          <t>United Kingdom</t>
        </is>
      </c>
      <c r="C591" s="5" t="inlineStr">
        <is>
          <t>84347</t>
        </is>
      </c>
      <c r="D591" s="5" t="inlineStr">
        <is>
          <t>ROTATING SILVER ANGELS T-LIGHT HLDR</t>
        </is>
      </c>
      <c r="E591" s="7" t="n">
        <v>153</v>
      </c>
      <c r="F591" s="8" t="n">
        <v>60</v>
      </c>
      <c r="G591" s="8" t="n">
        <v>2</v>
      </c>
      <c r="H591" s="5" t="n">
        <v>2011</v>
      </c>
      <c r="I591" s="5" t="n">
        <v>5</v>
      </c>
    </row>
    <row r="592">
      <c r="A592" s="5" t="inlineStr">
        <is>
          <t>2011-05</t>
        </is>
      </c>
      <c r="B592" s="5" t="inlineStr">
        <is>
          <t>United Kingdom</t>
        </is>
      </c>
      <c r="C592" s="5" t="inlineStr">
        <is>
          <t>84879</t>
        </is>
      </c>
      <c r="D592" s="5" t="inlineStr">
        <is>
          <t>ASSORTED COLOUR BIRD ORNAMENT</t>
        </is>
      </c>
      <c r="E592" s="7" t="n">
        <v>4074.36</v>
      </c>
      <c r="F592" s="8" t="n">
        <v>2436</v>
      </c>
      <c r="G592" s="8" t="n">
        <v>131</v>
      </c>
      <c r="H592" s="5" t="n">
        <v>2011</v>
      </c>
      <c r="I592" s="5" t="n">
        <v>5</v>
      </c>
    </row>
    <row r="593">
      <c r="A593" s="5" t="inlineStr">
        <is>
          <t>2011-05</t>
        </is>
      </c>
      <c r="B593" s="5" t="inlineStr">
        <is>
          <t>United Kingdom</t>
        </is>
      </c>
      <c r="C593" s="5" t="inlineStr">
        <is>
          <t>85099B</t>
        </is>
      </c>
      <c r="D593" s="5" t="inlineStr">
        <is>
          <t>JUMBO BAG RED RETROSPOT</t>
        </is>
      </c>
      <c r="E593" s="7" t="n">
        <v>6535.93</v>
      </c>
      <c r="F593" s="8" t="n">
        <v>3311</v>
      </c>
      <c r="G593" s="8" t="n">
        <v>177</v>
      </c>
      <c r="H593" s="5" t="n">
        <v>2011</v>
      </c>
      <c r="I593" s="5" t="n">
        <v>5</v>
      </c>
    </row>
    <row r="594">
      <c r="A594" s="5" t="inlineStr">
        <is>
          <t>2011-05</t>
        </is>
      </c>
      <c r="B594" s="5" t="inlineStr">
        <is>
          <t>United Kingdom</t>
        </is>
      </c>
      <c r="C594" s="5" t="inlineStr">
        <is>
          <t>85123A</t>
        </is>
      </c>
      <c r="D594" s="5" t="inlineStr">
        <is>
          <t>WHITE HANGING HEART T-LIGHT HOLDER</t>
        </is>
      </c>
      <c r="E594" s="7" t="n">
        <v>10975.52</v>
      </c>
      <c r="F594" s="8" t="n">
        <v>3920</v>
      </c>
      <c r="G594" s="8" t="n">
        <v>211</v>
      </c>
      <c r="H594" s="5" t="n">
        <v>2011</v>
      </c>
      <c r="I594" s="5" t="n">
        <v>5</v>
      </c>
    </row>
    <row r="595">
      <c r="A595" s="5" t="inlineStr">
        <is>
          <t>2011-05</t>
        </is>
      </c>
      <c r="B595" s="5" t="inlineStr">
        <is>
          <t>United Kingdom</t>
        </is>
      </c>
      <c r="C595" s="5" t="inlineStr">
        <is>
          <t>ALL OTHER PRODUCTS</t>
        </is>
      </c>
      <c r="D595" s="5" t="inlineStr">
        <is>
          <t>All other products</t>
        </is>
      </c>
      <c r="E595" s="7" t="n">
        <v>554028.5600000001</v>
      </c>
      <c r="F595" s="8" t="n">
        <v>296301</v>
      </c>
      <c r="G595" s="8" t="n">
        <v>1503</v>
      </c>
      <c r="H595" s="5" t="n">
        <v>2011</v>
      </c>
      <c r="I595" s="5" t="n">
        <v>5</v>
      </c>
    </row>
    <row r="596">
      <c r="A596" s="5" t="inlineStr">
        <is>
          <t>2011-06</t>
        </is>
      </c>
      <c r="B596" s="5" t="inlineStr">
        <is>
          <t>Ireland (EIRE)</t>
        </is>
      </c>
      <c r="C596" s="5" t="inlineStr">
        <is>
          <t>20725</t>
        </is>
      </c>
      <c r="D596" s="5" t="inlineStr">
        <is>
          <t>LUNCH BAG RED RETROSPOT</t>
        </is>
      </c>
      <c r="E596" s="7" t="n">
        <v>33</v>
      </c>
      <c r="F596" s="8" t="n">
        <v>20</v>
      </c>
      <c r="G596" s="8" t="n">
        <v>1</v>
      </c>
      <c r="H596" s="5" t="n">
        <v>2011</v>
      </c>
      <c r="I596" s="5" t="n">
        <v>6</v>
      </c>
    </row>
    <row r="597">
      <c r="A597" s="5" t="inlineStr">
        <is>
          <t>2011-06</t>
        </is>
      </c>
      <c r="B597" s="5" t="inlineStr">
        <is>
          <t>Ireland (EIRE)</t>
        </is>
      </c>
      <c r="C597" s="5" t="inlineStr">
        <is>
          <t>22197</t>
        </is>
      </c>
      <c r="D597" s="5" t="inlineStr">
        <is>
          <t>SMALL POPCORN HOLDER</t>
        </is>
      </c>
      <c r="E597" s="7" t="n">
        <v>51</v>
      </c>
      <c r="F597" s="8" t="n">
        <v>60</v>
      </c>
      <c r="G597" s="8" t="n">
        <v>3</v>
      </c>
      <c r="H597" s="5" t="n">
        <v>2011</v>
      </c>
      <c r="I597" s="5" t="n">
        <v>6</v>
      </c>
    </row>
    <row r="598">
      <c r="A598" s="5" t="inlineStr">
        <is>
          <t>2011-06</t>
        </is>
      </c>
      <c r="B598" s="5" t="inlineStr">
        <is>
          <t>Ireland (EIRE)</t>
        </is>
      </c>
      <c r="C598" s="5" t="inlineStr">
        <is>
          <t>22423</t>
        </is>
      </c>
      <c r="D598" s="5" t="inlineStr">
        <is>
          <t>REGENCY CAKESTAND 3 TIER</t>
        </is>
      </c>
      <c r="E598" s="7" t="n">
        <v>280.5</v>
      </c>
      <c r="F598" s="8" t="n">
        <v>22</v>
      </c>
      <c r="G598" s="8" t="n">
        <v>6</v>
      </c>
      <c r="H598" s="5" t="n">
        <v>2011</v>
      </c>
      <c r="I598" s="5" t="n">
        <v>6</v>
      </c>
    </row>
    <row r="599">
      <c r="A599" s="5" t="inlineStr">
        <is>
          <t>2011-06</t>
        </is>
      </c>
      <c r="B599" s="5" t="inlineStr">
        <is>
          <t>Ireland (EIRE)</t>
        </is>
      </c>
      <c r="C599" s="5" t="inlineStr">
        <is>
          <t>23166</t>
        </is>
      </c>
      <c r="D599" s="5" t="inlineStr">
        <is>
          <t>MEDIUM CERAMIC TOP STORAGE JAR</t>
        </is>
      </c>
      <c r="E599" s="7" t="n">
        <v>15</v>
      </c>
      <c r="F599" s="8" t="n">
        <v>12</v>
      </c>
      <c r="G599" s="8" t="n">
        <v>1</v>
      </c>
      <c r="H599" s="5" t="n">
        <v>2011</v>
      </c>
      <c r="I599" s="5" t="n">
        <v>6</v>
      </c>
    </row>
    <row r="600">
      <c r="A600" s="5" t="inlineStr">
        <is>
          <t>2011-06</t>
        </is>
      </c>
      <c r="B600" s="5" t="inlineStr">
        <is>
          <t>Ireland (EIRE)</t>
        </is>
      </c>
      <c r="C600" s="5" t="inlineStr">
        <is>
          <t>47566</t>
        </is>
      </c>
      <c r="D600" s="5" t="inlineStr">
        <is>
          <t>PARTY BUNTING</t>
        </is>
      </c>
      <c r="E600" s="7" t="n">
        <v>227.3</v>
      </c>
      <c r="F600" s="8" t="n">
        <v>54</v>
      </c>
      <c r="G600" s="8" t="n">
        <v>2</v>
      </c>
      <c r="H600" s="5" t="n">
        <v>2011</v>
      </c>
      <c r="I600" s="5" t="n">
        <v>6</v>
      </c>
    </row>
    <row r="601">
      <c r="A601" s="5" t="inlineStr">
        <is>
          <t>2011-06</t>
        </is>
      </c>
      <c r="B601" s="5" t="inlineStr">
        <is>
          <t>Ireland (EIRE)</t>
        </is>
      </c>
      <c r="C601" s="5" t="inlineStr">
        <is>
          <t>79321</t>
        </is>
      </c>
      <c r="D601" s="5" t="inlineStr">
        <is>
          <t>CHILLI LIGHTS</t>
        </is>
      </c>
      <c r="E601" s="7" t="n">
        <v>23</v>
      </c>
      <c r="F601" s="8" t="n">
        <v>4</v>
      </c>
      <c r="G601" s="8" t="n">
        <v>1</v>
      </c>
      <c r="H601" s="5" t="n">
        <v>2011</v>
      </c>
      <c r="I601" s="5" t="n">
        <v>6</v>
      </c>
    </row>
    <row r="602">
      <c r="A602" s="5" t="inlineStr">
        <is>
          <t>2011-06</t>
        </is>
      </c>
      <c r="B602" s="5" t="inlineStr">
        <is>
          <t>Ireland (EIRE)</t>
        </is>
      </c>
      <c r="C602" s="5" t="inlineStr">
        <is>
          <t>84879</t>
        </is>
      </c>
      <c r="D602" s="5" t="inlineStr">
        <is>
          <t>ASSORTED COLOUR BIRD ORNAMENT</t>
        </is>
      </c>
      <c r="E602" s="7" t="n">
        <v>27.04</v>
      </c>
      <c r="F602" s="8" t="n">
        <v>16</v>
      </c>
      <c r="G602" s="8" t="n">
        <v>2</v>
      </c>
      <c r="H602" s="5" t="n">
        <v>2011</v>
      </c>
      <c r="I602" s="5" t="n">
        <v>6</v>
      </c>
    </row>
    <row r="603">
      <c r="A603" s="5" t="inlineStr">
        <is>
          <t>2011-06</t>
        </is>
      </c>
      <c r="B603" s="5" t="inlineStr">
        <is>
          <t>Ireland (EIRE)</t>
        </is>
      </c>
      <c r="C603" s="5" t="inlineStr">
        <is>
          <t>85099B</t>
        </is>
      </c>
      <c r="D603" s="5" t="inlineStr">
        <is>
          <t>JUMBO BAG RED RETROSPOT</t>
        </is>
      </c>
      <c r="E603" s="7" t="n">
        <v>41.6</v>
      </c>
      <c r="F603" s="8" t="n">
        <v>20</v>
      </c>
      <c r="G603" s="8" t="n">
        <v>2</v>
      </c>
      <c r="H603" s="5" t="n">
        <v>2011</v>
      </c>
      <c r="I603" s="5" t="n">
        <v>6</v>
      </c>
    </row>
    <row r="604">
      <c r="A604" s="5" t="inlineStr">
        <is>
          <t>2011-06</t>
        </is>
      </c>
      <c r="B604" s="5" t="inlineStr">
        <is>
          <t>Ireland (EIRE)</t>
        </is>
      </c>
      <c r="C604" s="5" t="inlineStr">
        <is>
          <t>85123A</t>
        </is>
      </c>
      <c r="D604" s="5" t="inlineStr">
        <is>
          <t>WHITE HANGING HEART T-LIGHT HOLDER</t>
        </is>
      </c>
      <c r="E604" s="7" t="n">
        <v>117</v>
      </c>
      <c r="F604" s="8" t="n">
        <v>44</v>
      </c>
      <c r="G604" s="8" t="n">
        <v>3</v>
      </c>
      <c r="H604" s="5" t="n">
        <v>2011</v>
      </c>
      <c r="I604" s="5" t="n">
        <v>6</v>
      </c>
    </row>
    <row r="605">
      <c r="A605" s="5" t="inlineStr">
        <is>
          <t>2011-06</t>
        </is>
      </c>
      <c r="B605" s="5" t="inlineStr">
        <is>
          <t>Ireland (EIRE)</t>
        </is>
      </c>
      <c r="C605" s="5" t="inlineStr">
        <is>
          <t>ALL OTHER PRODUCTS</t>
        </is>
      </c>
      <c r="D605" s="5" t="inlineStr">
        <is>
          <t>All other products</t>
        </is>
      </c>
      <c r="E605" s="7" t="n">
        <v>19897.85</v>
      </c>
      <c r="F605" s="8" t="n">
        <v>12640</v>
      </c>
      <c r="G605" s="8" t="n">
        <v>26</v>
      </c>
      <c r="H605" s="5" t="n">
        <v>2011</v>
      </c>
      <c r="I605" s="5" t="n">
        <v>6</v>
      </c>
    </row>
    <row r="606">
      <c r="A606" s="5" t="inlineStr">
        <is>
          <t>2011-06</t>
        </is>
      </c>
      <c r="B606" s="5" t="inlineStr">
        <is>
          <t>Rest of Europe</t>
        </is>
      </c>
      <c r="C606" s="5" t="inlineStr">
        <is>
          <t>20725</t>
        </is>
      </c>
      <c r="D606" s="5" t="inlineStr">
        <is>
          <t>LUNCH BAG RED RETROSPOT</t>
        </is>
      </c>
      <c r="E606" s="7" t="n">
        <v>446.75</v>
      </c>
      <c r="F606" s="8" t="n">
        <v>295</v>
      </c>
      <c r="G606" s="8" t="n">
        <v>11</v>
      </c>
      <c r="H606" s="5" t="n">
        <v>2011</v>
      </c>
      <c r="I606" s="5" t="n">
        <v>6</v>
      </c>
    </row>
    <row r="607">
      <c r="A607" s="5" t="inlineStr">
        <is>
          <t>2011-06</t>
        </is>
      </c>
      <c r="B607" s="5" t="inlineStr">
        <is>
          <t>Rest of Europe</t>
        </is>
      </c>
      <c r="C607" s="5" t="inlineStr">
        <is>
          <t>22197</t>
        </is>
      </c>
      <c r="D607" s="5" t="inlineStr">
        <is>
          <t>SMALL POPCORN HOLDER</t>
        </is>
      </c>
      <c r="E607" s="7" t="n">
        <v>59.5</v>
      </c>
      <c r="F607" s="8" t="n">
        <v>70</v>
      </c>
      <c r="G607" s="8" t="n">
        <v>5</v>
      </c>
      <c r="H607" s="5" t="n">
        <v>2011</v>
      </c>
      <c r="I607" s="5" t="n">
        <v>6</v>
      </c>
    </row>
    <row r="608">
      <c r="A608" s="5" t="inlineStr">
        <is>
          <t>2011-06</t>
        </is>
      </c>
      <c r="B608" s="5" t="inlineStr">
        <is>
          <t>Rest of Europe</t>
        </is>
      </c>
      <c r="C608" s="5" t="inlineStr">
        <is>
          <t>22386</t>
        </is>
      </c>
      <c r="D608" s="5" t="inlineStr">
        <is>
          <t>JUMBO BAG PINK POLKADOT</t>
        </is>
      </c>
      <c r="E608" s="7" t="n">
        <v>476.44</v>
      </c>
      <c r="F608" s="8" t="n">
        <v>243</v>
      </c>
      <c r="G608" s="8" t="n">
        <v>9</v>
      </c>
      <c r="H608" s="5" t="n">
        <v>2011</v>
      </c>
      <c r="I608" s="5" t="n">
        <v>6</v>
      </c>
    </row>
    <row r="609">
      <c r="A609" s="5" t="inlineStr">
        <is>
          <t>2011-06</t>
        </is>
      </c>
      <c r="B609" s="5" t="inlineStr">
        <is>
          <t>Rest of Europe</t>
        </is>
      </c>
      <c r="C609" s="5" t="inlineStr">
        <is>
          <t>22423</t>
        </is>
      </c>
      <c r="D609" s="5" t="inlineStr">
        <is>
          <t>REGENCY CAKESTAND 3 TIER</t>
        </is>
      </c>
      <c r="E609" s="7" t="n">
        <v>1011.75</v>
      </c>
      <c r="F609" s="8" t="n">
        <v>85</v>
      </c>
      <c r="G609" s="8" t="n">
        <v>13</v>
      </c>
      <c r="H609" s="5" t="n">
        <v>2011</v>
      </c>
      <c r="I609" s="5" t="n">
        <v>6</v>
      </c>
    </row>
    <row r="610">
      <c r="A610" s="5" t="inlineStr">
        <is>
          <t>2011-06</t>
        </is>
      </c>
      <c r="B610" s="5" t="inlineStr">
        <is>
          <t>Rest of Europe</t>
        </is>
      </c>
      <c r="C610" s="5" t="inlineStr">
        <is>
          <t>23166</t>
        </is>
      </c>
      <c r="D610" s="5" t="inlineStr">
        <is>
          <t>MEDIUM CERAMIC TOP STORAGE JAR</t>
        </is>
      </c>
      <c r="E610" s="7" t="n">
        <v>64.92</v>
      </c>
      <c r="F610" s="8" t="n">
        <v>60</v>
      </c>
      <c r="G610" s="8" t="n">
        <v>2</v>
      </c>
      <c r="H610" s="5" t="n">
        <v>2011</v>
      </c>
      <c r="I610" s="5" t="n">
        <v>6</v>
      </c>
    </row>
    <row r="611">
      <c r="A611" s="5" t="inlineStr">
        <is>
          <t>2011-06</t>
        </is>
      </c>
      <c r="B611" s="5" t="inlineStr">
        <is>
          <t>Rest of Europe</t>
        </is>
      </c>
      <c r="C611" s="5" t="inlineStr">
        <is>
          <t>47566</t>
        </is>
      </c>
      <c r="D611" s="5" t="inlineStr">
        <is>
          <t>PARTY BUNTING</t>
        </is>
      </c>
      <c r="E611" s="7" t="n">
        <v>405.5</v>
      </c>
      <c r="F611" s="8" t="n">
        <v>90</v>
      </c>
      <c r="G611" s="8" t="n">
        <v>7</v>
      </c>
      <c r="H611" s="5" t="n">
        <v>2011</v>
      </c>
      <c r="I611" s="5" t="n">
        <v>6</v>
      </c>
    </row>
    <row r="612">
      <c r="A612" s="5" t="inlineStr">
        <is>
          <t>2011-06</t>
        </is>
      </c>
      <c r="B612" s="5" t="inlineStr">
        <is>
          <t>Rest of Europe</t>
        </is>
      </c>
      <c r="C612" s="5" t="inlineStr">
        <is>
          <t>79321</t>
        </is>
      </c>
      <c r="D612" s="5" t="inlineStr">
        <is>
          <t>CHILLI LIGHTS</t>
        </is>
      </c>
      <c r="E612" s="7" t="n">
        <v>69</v>
      </c>
      <c r="F612" s="8" t="n">
        <v>12</v>
      </c>
      <c r="G612" s="8" t="n">
        <v>1</v>
      </c>
      <c r="H612" s="5" t="n">
        <v>2011</v>
      </c>
      <c r="I612" s="5" t="n">
        <v>6</v>
      </c>
    </row>
    <row r="613">
      <c r="A613" s="5" t="inlineStr">
        <is>
          <t>2011-06</t>
        </is>
      </c>
      <c r="B613" s="5" t="inlineStr">
        <is>
          <t>Rest of Europe</t>
        </is>
      </c>
      <c r="C613" s="5" t="inlineStr">
        <is>
          <t>84879</t>
        </is>
      </c>
      <c r="D613" s="5" t="inlineStr">
        <is>
          <t>ASSORTED COLOUR BIRD ORNAMENT</t>
        </is>
      </c>
      <c r="E613" s="7" t="n">
        <v>299.6</v>
      </c>
      <c r="F613" s="8" t="n">
        <v>200</v>
      </c>
      <c r="G613" s="8" t="n">
        <v>4</v>
      </c>
      <c r="H613" s="5" t="n">
        <v>2011</v>
      </c>
      <c r="I613" s="5" t="n">
        <v>6</v>
      </c>
    </row>
    <row r="614">
      <c r="A614" s="5" t="inlineStr">
        <is>
          <t>2011-06</t>
        </is>
      </c>
      <c r="B614" s="5" t="inlineStr">
        <is>
          <t>Rest of Europe</t>
        </is>
      </c>
      <c r="C614" s="5" t="inlineStr">
        <is>
          <t>85099B</t>
        </is>
      </c>
      <c r="D614" s="5" t="inlineStr">
        <is>
          <t>JUMBO BAG RED RETROSPOT</t>
        </is>
      </c>
      <c r="E614" s="7" t="n">
        <v>778.16</v>
      </c>
      <c r="F614" s="8" t="n">
        <v>402</v>
      </c>
      <c r="G614" s="8" t="n">
        <v>14</v>
      </c>
      <c r="H614" s="5" t="n">
        <v>2011</v>
      </c>
      <c r="I614" s="5" t="n">
        <v>6</v>
      </c>
    </row>
    <row r="615">
      <c r="A615" s="5" t="inlineStr">
        <is>
          <t>2011-06</t>
        </is>
      </c>
      <c r="B615" s="5" t="inlineStr">
        <is>
          <t>Rest of Europe</t>
        </is>
      </c>
      <c r="C615" s="5" t="inlineStr">
        <is>
          <t>85123A</t>
        </is>
      </c>
      <c r="D615" s="5" t="inlineStr">
        <is>
          <t>WHITE HANGING HEART T-LIGHT HOLDER</t>
        </is>
      </c>
      <c r="E615" s="7" t="n">
        <v>35.4</v>
      </c>
      <c r="F615" s="8" t="n">
        <v>12</v>
      </c>
      <c r="G615" s="8" t="n">
        <v>2</v>
      </c>
      <c r="H615" s="5" t="n">
        <v>2011</v>
      </c>
      <c r="I615" s="5" t="n">
        <v>6</v>
      </c>
    </row>
    <row r="616">
      <c r="A616" s="5" t="inlineStr">
        <is>
          <t>2011-06</t>
        </is>
      </c>
      <c r="B616" s="5" t="inlineStr">
        <is>
          <t>Rest of Europe</t>
        </is>
      </c>
      <c r="C616" s="5" t="inlineStr">
        <is>
          <t>ALL OTHER PRODUCTS</t>
        </is>
      </c>
      <c r="D616" s="5" t="inlineStr">
        <is>
          <t>All other products</t>
        </is>
      </c>
      <c r="E616" s="7" t="n">
        <v>79396.84</v>
      </c>
      <c r="F616" s="8" t="n">
        <v>49525</v>
      </c>
      <c r="G616" s="8" t="n">
        <v>112</v>
      </c>
      <c r="H616" s="5" t="n">
        <v>2011</v>
      </c>
      <c r="I616" s="5" t="n">
        <v>6</v>
      </c>
    </row>
    <row r="617">
      <c r="A617" s="5" t="inlineStr">
        <is>
          <t>2011-06</t>
        </is>
      </c>
      <c r="B617" s="5" t="inlineStr">
        <is>
          <t>Rest of World</t>
        </is>
      </c>
      <c r="C617" s="5" t="inlineStr">
        <is>
          <t>20725</t>
        </is>
      </c>
      <c r="D617" s="5" t="inlineStr">
        <is>
          <t>LUNCH BAG RED RETROSPOT</t>
        </is>
      </c>
      <c r="E617" s="7" t="n">
        <v>145</v>
      </c>
      <c r="F617" s="8" t="n">
        <v>100</v>
      </c>
      <c r="G617" s="8" t="n">
        <v>1</v>
      </c>
      <c r="H617" s="5" t="n">
        <v>2011</v>
      </c>
      <c r="I617" s="5" t="n">
        <v>6</v>
      </c>
    </row>
    <row r="618">
      <c r="A618" s="5" t="inlineStr">
        <is>
          <t>2011-06</t>
        </is>
      </c>
      <c r="B618" s="5" t="inlineStr">
        <is>
          <t>Rest of World</t>
        </is>
      </c>
      <c r="C618" s="5" t="inlineStr">
        <is>
          <t>22423</t>
        </is>
      </c>
      <c r="D618" s="5" t="inlineStr">
        <is>
          <t>REGENCY CAKESTAND 3 TIER</t>
        </is>
      </c>
      <c r="E618" s="7" t="n">
        <v>350.4</v>
      </c>
      <c r="F618" s="8" t="n">
        <v>32</v>
      </c>
      <c r="G618" s="8" t="n">
        <v>1</v>
      </c>
      <c r="H618" s="5" t="n">
        <v>2011</v>
      </c>
      <c r="I618" s="5" t="n">
        <v>6</v>
      </c>
    </row>
    <row r="619">
      <c r="A619" s="5" t="inlineStr">
        <is>
          <t>2011-06</t>
        </is>
      </c>
      <c r="B619" s="5" t="inlineStr">
        <is>
          <t>Rest of World</t>
        </is>
      </c>
      <c r="C619" s="5" t="inlineStr">
        <is>
          <t>23166</t>
        </is>
      </c>
      <c r="D619" s="5" t="inlineStr">
        <is>
          <t>MEDIUM CERAMIC TOP STORAGE JAR</t>
        </is>
      </c>
      <c r="E619" s="7" t="n">
        <v>99.84</v>
      </c>
      <c r="F619" s="8" t="n">
        <v>96</v>
      </c>
      <c r="G619" s="8" t="n">
        <v>1</v>
      </c>
      <c r="H619" s="5" t="n">
        <v>2011</v>
      </c>
      <c r="I619" s="5" t="n">
        <v>6</v>
      </c>
    </row>
    <row r="620">
      <c r="A620" s="5" t="inlineStr">
        <is>
          <t>2011-06</t>
        </is>
      </c>
      <c r="B620" s="5" t="inlineStr">
        <is>
          <t>Rest of World</t>
        </is>
      </c>
      <c r="C620" s="5" t="inlineStr">
        <is>
          <t>47566</t>
        </is>
      </c>
      <c r="D620" s="5" t="inlineStr">
        <is>
          <t>PARTY BUNTING</t>
        </is>
      </c>
      <c r="E620" s="7" t="n">
        <v>118.8</v>
      </c>
      <c r="F620" s="8" t="n">
        <v>24</v>
      </c>
      <c r="G620" s="8" t="n">
        <v>1</v>
      </c>
      <c r="H620" s="5" t="n">
        <v>2011</v>
      </c>
      <c r="I620" s="5" t="n">
        <v>6</v>
      </c>
    </row>
    <row r="621">
      <c r="A621" s="5" t="inlineStr">
        <is>
          <t>2011-06</t>
        </is>
      </c>
      <c r="B621" s="5" t="inlineStr">
        <is>
          <t>Rest of World</t>
        </is>
      </c>
      <c r="C621" s="5" t="inlineStr">
        <is>
          <t>85099B</t>
        </is>
      </c>
      <c r="D621" s="5" t="inlineStr">
        <is>
          <t>JUMBO BAG RED RETROSPOT</t>
        </is>
      </c>
      <c r="E621" s="7" t="n">
        <v>179</v>
      </c>
      <c r="F621" s="8" t="n">
        <v>100</v>
      </c>
      <c r="G621" s="8" t="n">
        <v>1</v>
      </c>
      <c r="H621" s="5" t="n">
        <v>2011</v>
      </c>
      <c r="I621" s="5" t="n">
        <v>6</v>
      </c>
    </row>
    <row r="622">
      <c r="A622" s="5" t="inlineStr">
        <is>
          <t>2011-06</t>
        </is>
      </c>
      <c r="B622" s="5" t="inlineStr">
        <is>
          <t>Rest of World</t>
        </is>
      </c>
      <c r="C622" s="5" t="inlineStr">
        <is>
          <t>ALL OTHER PRODUCTS</t>
        </is>
      </c>
      <c r="D622" s="5" t="inlineStr">
        <is>
          <t>All other products</t>
        </is>
      </c>
      <c r="E622" s="7" t="n">
        <v>27877.97</v>
      </c>
      <c r="F622" s="8" t="n">
        <v>19591</v>
      </c>
      <c r="G622" s="8" t="n">
        <v>8</v>
      </c>
      <c r="H622" s="5" t="n">
        <v>2011</v>
      </c>
      <c r="I622" s="5" t="n">
        <v>6</v>
      </c>
    </row>
    <row r="623">
      <c r="A623" s="5" t="inlineStr">
        <is>
          <t>2011-06</t>
        </is>
      </c>
      <c r="B623" s="5" t="inlineStr">
        <is>
          <t>United Kingdom</t>
        </is>
      </c>
      <c r="C623" s="5" t="inlineStr">
        <is>
          <t>20725</t>
        </is>
      </c>
      <c r="D623" s="5" t="inlineStr">
        <is>
          <t>LUNCH BAG RED RETROSPOT</t>
        </is>
      </c>
      <c r="E623" s="7" t="n">
        <v>2474.44</v>
      </c>
      <c r="F623" s="8" t="n">
        <v>1220</v>
      </c>
      <c r="G623" s="8" t="n">
        <v>127</v>
      </c>
      <c r="H623" s="5" t="n">
        <v>2011</v>
      </c>
      <c r="I623" s="5" t="n">
        <v>6</v>
      </c>
    </row>
    <row r="624">
      <c r="A624" s="5" t="inlineStr">
        <is>
          <t>2011-06</t>
        </is>
      </c>
      <c r="B624" s="5" t="inlineStr">
        <is>
          <t>United Kingdom</t>
        </is>
      </c>
      <c r="C624" s="5" t="inlineStr">
        <is>
          <t>22086</t>
        </is>
      </c>
      <c r="D624" s="5" t="inlineStr">
        <is>
          <t>PAPER CHAIN KIT 50'S CHRISTMAS</t>
        </is>
      </c>
      <c r="E624" s="7" t="n">
        <v>910.88</v>
      </c>
      <c r="F624" s="8" t="n">
        <v>344</v>
      </c>
      <c r="G624" s="8" t="n">
        <v>8</v>
      </c>
      <c r="H624" s="5" t="n">
        <v>2011</v>
      </c>
      <c r="I624" s="5" t="n">
        <v>6</v>
      </c>
    </row>
    <row r="625">
      <c r="A625" s="5" t="inlineStr">
        <is>
          <t>2011-06</t>
        </is>
      </c>
      <c r="B625" s="5" t="inlineStr">
        <is>
          <t>United Kingdom</t>
        </is>
      </c>
      <c r="C625" s="5" t="inlineStr">
        <is>
          <t>22197</t>
        </is>
      </c>
      <c r="D625" s="5" t="inlineStr">
        <is>
          <t>SMALL POPCORN HOLDER</t>
        </is>
      </c>
      <c r="E625" s="7" t="n">
        <v>1596.41</v>
      </c>
      <c r="F625" s="8" t="n">
        <v>1965</v>
      </c>
      <c r="G625" s="8" t="n">
        <v>94</v>
      </c>
      <c r="H625" s="5" t="n">
        <v>2011</v>
      </c>
      <c r="I625" s="5" t="n">
        <v>6</v>
      </c>
    </row>
    <row r="626">
      <c r="A626" s="5" t="inlineStr">
        <is>
          <t>2011-06</t>
        </is>
      </c>
      <c r="B626" s="5" t="inlineStr">
        <is>
          <t>United Kingdom</t>
        </is>
      </c>
      <c r="C626" s="5" t="inlineStr">
        <is>
          <t>22386</t>
        </is>
      </c>
      <c r="D626" s="5" t="inlineStr">
        <is>
          <t>JUMBO BAG PINK POLKADOT</t>
        </is>
      </c>
      <c r="E626" s="7" t="n">
        <v>3701.95</v>
      </c>
      <c r="F626" s="8" t="n">
        <v>1870</v>
      </c>
      <c r="G626" s="8" t="n">
        <v>115</v>
      </c>
      <c r="H626" s="5" t="n">
        <v>2011</v>
      </c>
      <c r="I626" s="5" t="n">
        <v>6</v>
      </c>
    </row>
    <row r="627">
      <c r="A627" s="5" t="inlineStr">
        <is>
          <t>2011-06</t>
        </is>
      </c>
      <c r="B627" s="5" t="inlineStr">
        <is>
          <t>United Kingdom</t>
        </is>
      </c>
      <c r="C627" s="5" t="inlineStr">
        <is>
          <t>22423</t>
        </is>
      </c>
      <c r="D627" s="5" t="inlineStr">
        <is>
          <t>REGENCY CAKESTAND 3 TIER</t>
        </is>
      </c>
      <c r="E627" s="7" t="n">
        <v>8089.99</v>
      </c>
      <c r="F627" s="8" t="n">
        <v>644</v>
      </c>
      <c r="G627" s="8" t="n">
        <v>115</v>
      </c>
      <c r="H627" s="5" t="n">
        <v>2011</v>
      </c>
      <c r="I627" s="5" t="n">
        <v>6</v>
      </c>
    </row>
    <row r="628">
      <c r="A628" s="5" t="inlineStr">
        <is>
          <t>2011-06</t>
        </is>
      </c>
      <c r="B628" s="5" t="inlineStr">
        <is>
          <t>United Kingdom</t>
        </is>
      </c>
      <c r="C628" s="5" t="inlineStr">
        <is>
          <t>23166</t>
        </is>
      </c>
      <c r="D628" s="5" t="inlineStr">
        <is>
          <t>MEDIUM CERAMIC TOP STORAGE JAR</t>
        </is>
      </c>
      <c r="E628" s="7" t="n">
        <v>293.51</v>
      </c>
      <c r="F628" s="8" t="n">
        <v>229</v>
      </c>
      <c r="G628" s="8" t="n">
        <v>29</v>
      </c>
      <c r="H628" s="5" t="n">
        <v>2011</v>
      </c>
      <c r="I628" s="5" t="n">
        <v>6</v>
      </c>
    </row>
    <row r="629">
      <c r="A629" s="5" t="inlineStr">
        <is>
          <t>2011-06</t>
        </is>
      </c>
      <c r="B629" s="5" t="inlineStr">
        <is>
          <t>United Kingdom</t>
        </is>
      </c>
      <c r="C629" s="5" t="inlineStr">
        <is>
          <t>47566</t>
        </is>
      </c>
      <c r="D629" s="5" t="inlineStr">
        <is>
          <t>PARTY BUNTING</t>
        </is>
      </c>
      <c r="E629" s="7" t="n">
        <v>11804.52</v>
      </c>
      <c r="F629" s="8" t="n">
        <v>2052</v>
      </c>
      <c r="G629" s="8" t="n">
        <v>196</v>
      </c>
      <c r="H629" s="5" t="n">
        <v>2011</v>
      </c>
      <c r="I629" s="5" t="n">
        <v>6</v>
      </c>
    </row>
    <row r="630">
      <c r="A630" s="5" t="inlineStr">
        <is>
          <t>2011-06</t>
        </is>
      </c>
      <c r="B630" s="5" t="inlineStr">
        <is>
          <t>United Kingdom</t>
        </is>
      </c>
      <c r="C630" s="5" t="inlineStr">
        <is>
          <t>79321</t>
        </is>
      </c>
      <c r="D630" s="5" t="inlineStr">
        <is>
          <t>CHILLI LIGHTS</t>
        </is>
      </c>
      <c r="E630" s="7" t="n">
        <v>2218.29</v>
      </c>
      <c r="F630" s="8" t="n">
        <v>382</v>
      </c>
      <c r="G630" s="8" t="n">
        <v>48</v>
      </c>
      <c r="H630" s="5" t="n">
        <v>2011</v>
      </c>
      <c r="I630" s="5" t="n">
        <v>6</v>
      </c>
    </row>
    <row r="631">
      <c r="A631" s="5" t="inlineStr">
        <is>
          <t>2011-06</t>
        </is>
      </c>
      <c r="B631" s="5" t="inlineStr">
        <is>
          <t>United Kingdom</t>
        </is>
      </c>
      <c r="C631" s="5" t="inlineStr">
        <is>
          <t>84347</t>
        </is>
      </c>
      <c r="D631" s="5" t="inlineStr">
        <is>
          <t>ROTATING SILVER ANGELS T-LIGHT HLDR</t>
        </is>
      </c>
      <c r="E631" s="7" t="n">
        <v>25.08</v>
      </c>
      <c r="F631" s="8" t="n">
        <v>7</v>
      </c>
      <c r="G631" s="8" t="n">
        <v>6</v>
      </c>
      <c r="H631" s="5" t="n">
        <v>2011</v>
      </c>
      <c r="I631" s="5" t="n">
        <v>6</v>
      </c>
    </row>
    <row r="632">
      <c r="A632" s="5" t="inlineStr">
        <is>
          <t>2011-06</t>
        </is>
      </c>
      <c r="B632" s="5" t="inlineStr">
        <is>
          <t>United Kingdom</t>
        </is>
      </c>
      <c r="C632" s="5" t="inlineStr">
        <is>
          <t>84879</t>
        </is>
      </c>
      <c r="D632" s="5" t="inlineStr">
        <is>
          <t>ASSORTED COLOUR BIRD ORNAMENT</t>
        </is>
      </c>
      <c r="E632" s="7" t="n">
        <v>2301</v>
      </c>
      <c r="F632" s="8" t="n">
        <v>1348</v>
      </c>
      <c r="G632" s="8" t="n">
        <v>84</v>
      </c>
      <c r="H632" s="5" t="n">
        <v>2011</v>
      </c>
      <c r="I632" s="5" t="n">
        <v>6</v>
      </c>
    </row>
    <row r="633">
      <c r="A633" s="5" t="inlineStr">
        <is>
          <t>2011-06</t>
        </is>
      </c>
      <c r="B633" s="5" t="inlineStr">
        <is>
          <t>United Kingdom</t>
        </is>
      </c>
      <c r="C633" s="5" t="inlineStr">
        <is>
          <t>85099B</t>
        </is>
      </c>
      <c r="D633" s="5" t="inlineStr">
        <is>
          <t>JUMBO BAG RED RETROSPOT</t>
        </is>
      </c>
      <c r="E633" s="7" t="n">
        <v>6249.22</v>
      </c>
      <c r="F633" s="8" t="n">
        <v>3159</v>
      </c>
      <c r="G633" s="8" t="n">
        <v>164</v>
      </c>
      <c r="H633" s="5" t="n">
        <v>2011</v>
      </c>
      <c r="I633" s="5" t="n">
        <v>6</v>
      </c>
    </row>
    <row r="634">
      <c r="A634" s="5" t="inlineStr">
        <is>
          <t>2011-06</t>
        </is>
      </c>
      <c r="B634" s="5" t="inlineStr">
        <is>
          <t>United Kingdom</t>
        </is>
      </c>
      <c r="C634" s="5" t="inlineStr">
        <is>
          <t>85123A</t>
        </is>
      </c>
      <c r="D634" s="5" t="inlineStr">
        <is>
          <t>WHITE HANGING HEART T-LIGHT HOLDER</t>
        </is>
      </c>
      <c r="E634" s="7" t="n">
        <v>4528.41</v>
      </c>
      <c r="F634" s="8" t="n">
        <v>1619</v>
      </c>
      <c r="G634" s="8" t="n">
        <v>137</v>
      </c>
      <c r="H634" s="5" t="n">
        <v>2011</v>
      </c>
      <c r="I634" s="5" t="n">
        <v>6</v>
      </c>
    </row>
    <row r="635">
      <c r="A635" s="5" t="inlineStr">
        <is>
          <t>2011-06</t>
        </is>
      </c>
      <c r="B635" s="5" t="inlineStr">
        <is>
          <t>United Kingdom</t>
        </is>
      </c>
      <c r="C635" s="5" t="inlineStr">
        <is>
          <t>ALL OTHER PRODUCTS</t>
        </is>
      </c>
      <c r="D635" s="5" t="inlineStr">
        <is>
          <t>All other products</t>
        </is>
      </c>
      <c r="E635" s="7" t="n">
        <v>560837.12</v>
      </c>
      <c r="F635" s="8" t="n">
        <v>289456</v>
      </c>
      <c r="G635" s="8" t="n">
        <v>1369</v>
      </c>
      <c r="H635" s="5" t="n">
        <v>2011</v>
      </c>
      <c r="I635" s="5" t="n">
        <v>6</v>
      </c>
    </row>
    <row r="636">
      <c r="A636" s="5" t="inlineStr">
        <is>
          <t>2011-07</t>
        </is>
      </c>
      <c r="B636" s="5" t="inlineStr">
        <is>
          <t>Ireland (EIRE)</t>
        </is>
      </c>
      <c r="C636" s="5" t="inlineStr">
        <is>
          <t>20725</t>
        </is>
      </c>
      <c r="D636" s="5" t="inlineStr">
        <is>
          <t>LUNCH BAG RED RETROSPOT</t>
        </is>
      </c>
      <c r="E636" s="7" t="n">
        <v>178</v>
      </c>
      <c r="F636" s="8" t="n">
        <v>120</v>
      </c>
      <c r="G636" s="8" t="n">
        <v>2</v>
      </c>
      <c r="H636" s="5" t="n">
        <v>2011</v>
      </c>
      <c r="I636" s="5" t="n">
        <v>7</v>
      </c>
    </row>
    <row r="637">
      <c r="A637" s="5" t="inlineStr">
        <is>
          <t>2011-07</t>
        </is>
      </c>
      <c r="B637" s="5" t="inlineStr">
        <is>
          <t>Ireland (EIRE)</t>
        </is>
      </c>
      <c r="C637" s="5" t="inlineStr">
        <is>
          <t>22086</t>
        </is>
      </c>
      <c r="D637" s="5" t="inlineStr">
        <is>
          <t>PAPER CHAIN KIT 50'S CHRISTMAS</t>
        </is>
      </c>
      <c r="E637" s="7" t="n">
        <v>306</v>
      </c>
      <c r="F637" s="8" t="n">
        <v>120</v>
      </c>
      <c r="G637" s="8" t="n">
        <v>1</v>
      </c>
      <c r="H637" s="5" t="n">
        <v>2011</v>
      </c>
      <c r="I637" s="5" t="n">
        <v>7</v>
      </c>
    </row>
    <row r="638">
      <c r="A638" s="5" t="inlineStr">
        <is>
          <t>2011-07</t>
        </is>
      </c>
      <c r="B638" s="5" t="inlineStr">
        <is>
          <t>Ireland (EIRE)</t>
        </is>
      </c>
      <c r="C638" s="5" t="inlineStr">
        <is>
          <t>22197</t>
        </is>
      </c>
      <c r="D638" s="5" t="inlineStr">
        <is>
          <t>SMALL POPCORN HOLDER</t>
        </is>
      </c>
      <c r="E638" s="7" t="n">
        <v>91.8</v>
      </c>
      <c r="F638" s="8" t="n">
        <v>108</v>
      </c>
      <c r="G638" s="8" t="n">
        <v>3</v>
      </c>
      <c r="H638" s="5" t="n">
        <v>2011</v>
      </c>
      <c r="I638" s="5" t="n">
        <v>7</v>
      </c>
    </row>
    <row r="639">
      <c r="A639" s="5" t="inlineStr">
        <is>
          <t>2011-07</t>
        </is>
      </c>
      <c r="B639" s="5" t="inlineStr">
        <is>
          <t>Ireland (EIRE)</t>
        </is>
      </c>
      <c r="C639" s="5" t="inlineStr">
        <is>
          <t>22423</t>
        </is>
      </c>
      <c r="D639" s="5" t="inlineStr">
        <is>
          <t>REGENCY CAKESTAND 3 TIER</t>
        </is>
      </c>
      <c r="E639" s="7" t="n">
        <v>806.1</v>
      </c>
      <c r="F639" s="8" t="n">
        <v>70</v>
      </c>
      <c r="G639" s="8" t="n">
        <v>8</v>
      </c>
      <c r="H639" s="5" t="n">
        <v>2011</v>
      </c>
      <c r="I639" s="5" t="n">
        <v>7</v>
      </c>
    </row>
    <row r="640">
      <c r="A640" s="5" t="inlineStr">
        <is>
          <t>2011-07</t>
        </is>
      </c>
      <c r="B640" s="5" t="inlineStr">
        <is>
          <t>Ireland (EIRE)</t>
        </is>
      </c>
      <c r="C640" s="5" t="inlineStr">
        <is>
          <t>23166</t>
        </is>
      </c>
      <c r="D640" s="5" t="inlineStr">
        <is>
          <t>MEDIUM CERAMIC TOP STORAGE JAR</t>
        </is>
      </c>
      <c r="E640" s="7" t="n">
        <v>474.84</v>
      </c>
      <c r="F640" s="8" t="n">
        <v>396</v>
      </c>
      <c r="G640" s="8" t="n">
        <v>4</v>
      </c>
      <c r="H640" s="5" t="n">
        <v>2011</v>
      </c>
      <c r="I640" s="5" t="n">
        <v>7</v>
      </c>
    </row>
    <row r="641">
      <c r="A641" s="5" t="inlineStr">
        <is>
          <t>2011-07</t>
        </is>
      </c>
      <c r="B641" s="5" t="inlineStr">
        <is>
          <t>Ireland (EIRE)</t>
        </is>
      </c>
      <c r="C641" s="5" t="inlineStr">
        <is>
          <t>47566</t>
        </is>
      </c>
      <c r="D641" s="5" t="inlineStr">
        <is>
          <t>PARTY BUNTING</t>
        </is>
      </c>
      <c r="E641" s="7" t="n">
        <v>318.6</v>
      </c>
      <c r="F641" s="8" t="n">
        <v>76</v>
      </c>
      <c r="G641" s="8" t="n">
        <v>2</v>
      </c>
      <c r="H641" s="5" t="n">
        <v>2011</v>
      </c>
      <c r="I641" s="5" t="n">
        <v>7</v>
      </c>
    </row>
    <row r="642">
      <c r="A642" s="5" t="inlineStr">
        <is>
          <t>2011-07</t>
        </is>
      </c>
      <c r="B642" s="5" t="inlineStr">
        <is>
          <t>Ireland (EIRE)</t>
        </is>
      </c>
      <c r="C642" s="5" t="inlineStr">
        <is>
          <t>84879</t>
        </is>
      </c>
      <c r="D642" s="5" t="inlineStr">
        <is>
          <t>ASSORTED COLOUR BIRD ORNAMENT</t>
        </is>
      </c>
      <c r="E642" s="7" t="n">
        <v>67.59999999999999</v>
      </c>
      <c r="F642" s="8" t="n">
        <v>40</v>
      </c>
      <c r="G642" s="8" t="n">
        <v>4</v>
      </c>
      <c r="H642" s="5" t="n">
        <v>2011</v>
      </c>
      <c r="I642" s="5" t="n">
        <v>7</v>
      </c>
    </row>
    <row r="643">
      <c r="A643" s="5" t="inlineStr">
        <is>
          <t>2011-07</t>
        </is>
      </c>
      <c r="B643" s="5" t="inlineStr">
        <is>
          <t>Ireland (EIRE)</t>
        </is>
      </c>
      <c r="C643" s="5" t="inlineStr">
        <is>
          <t>85123A</t>
        </is>
      </c>
      <c r="D643" s="5" t="inlineStr">
        <is>
          <t>WHITE HANGING HEART T-LIGHT HOLDER</t>
        </is>
      </c>
      <c r="E643" s="7" t="n">
        <v>106.2</v>
      </c>
      <c r="F643" s="8" t="n">
        <v>36</v>
      </c>
      <c r="G643" s="8" t="n">
        <v>2</v>
      </c>
      <c r="H643" s="5" t="n">
        <v>2011</v>
      </c>
      <c r="I643" s="5" t="n">
        <v>7</v>
      </c>
    </row>
    <row r="644">
      <c r="A644" s="5" t="inlineStr">
        <is>
          <t>2011-07</t>
        </is>
      </c>
      <c r="B644" s="5" t="inlineStr">
        <is>
          <t>Ireland (EIRE)</t>
        </is>
      </c>
      <c r="C644" s="5" t="inlineStr">
        <is>
          <t>ALL OTHER PRODUCTS</t>
        </is>
      </c>
      <c r="D644" s="5" t="inlineStr">
        <is>
          <t>All other products</t>
        </is>
      </c>
      <c r="E644" s="7" t="n">
        <v>39889.71</v>
      </c>
      <c r="F644" s="8" t="n">
        <v>21131</v>
      </c>
      <c r="G644" s="8" t="n">
        <v>27</v>
      </c>
      <c r="H644" s="5" t="n">
        <v>2011</v>
      </c>
      <c r="I644" s="5" t="n">
        <v>7</v>
      </c>
    </row>
    <row r="645">
      <c r="A645" s="5" t="inlineStr">
        <is>
          <t>2011-07</t>
        </is>
      </c>
      <c r="B645" s="5" t="inlineStr">
        <is>
          <t>Rest of Europe</t>
        </is>
      </c>
      <c r="C645" s="5" t="inlineStr">
        <is>
          <t>20725</t>
        </is>
      </c>
      <c r="D645" s="5" t="inlineStr">
        <is>
          <t>LUNCH BAG RED RETROSPOT</t>
        </is>
      </c>
      <c r="E645" s="7" t="n">
        <v>425.5</v>
      </c>
      <c r="F645" s="8" t="n">
        <v>270</v>
      </c>
      <c r="G645" s="8" t="n">
        <v>12</v>
      </c>
      <c r="H645" s="5" t="n">
        <v>2011</v>
      </c>
      <c r="I645" s="5" t="n">
        <v>7</v>
      </c>
    </row>
    <row r="646">
      <c r="A646" s="5" t="inlineStr">
        <is>
          <t>2011-07</t>
        </is>
      </c>
      <c r="B646" s="5" t="inlineStr">
        <is>
          <t>Rest of Europe</t>
        </is>
      </c>
      <c r="C646" s="5" t="inlineStr">
        <is>
          <t>22197</t>
        </is>
      </c>
      <c r="D646" s="5" t="inlineStr">
        <is>
          <t>SMALL POPCORN HOLDER</t>
        </is>
      </c>
      <c r="E646" s="7" t="n">
        <v>13.6</v>
      </c>
      <c r="F646" s="8" t="n">
        <v>16</v>
      </c>
      <c r="G646" s="8" t="n">
        <v>2</v>
      </c>
      <c r="H646" s="5" t="n">
        <v>2011</v>
      </c>
      <c r="I646" s="5" t="n">
        <v>7</v>
      </c>
    </row>
    <row r="647">
      <c r="A647" s="5" t="inlineStr">
        <is>
          <t>2011-07</t>
        </is>
      </c>
      <c r="B647" s="5" t="inlineStr">
        <is>
          <t>Rest of Europe</t>
        </is>
      </c>
      <c r="C647" s="5" t="inlineStr">
        <is>
          <t>22386</t>
        </is>
      </c>
      <c r="D647" s="5" t="inlineStr">
        <is>
          <t>JUMBO BAG PINK POLKADOT</t>
        </is>
      </c>
      <c r="E647" s="7" t="n">
        <v>62.4</v>
      </c>
      <c r="F647" s="8" t="n">
        <v>30</v>
      </c>
      <c r="G647" s="8" t="n">
        <v>3</v>
      </c>
      <c r="H647" s="5" t="n">
        <v>2011</v>
      </c>
      <c r="I647" s="5" t="n">
        <v>7</v>
      </c>
    </row>
    <row r="648">
      <c r="A648" s="5" t="inlineStr">
        <is>
          <t>2011-07</t>
        </is>
      </c>
      <c r="B648" s="5" t="inlineStr">
        <is>
          <t>Rest of Europe</t>
        </is>
      </c>
      <c r="C648" s="5" t="inlineStr">
        <is>
          <t>22423</t>
        </is>
      </c>
      <c r="D648" s="5" t="inlineStr">
        <is>
          <t>REGENCY CAKESTAND 3 TIER</t>
        </is>
      </c>
      <c r="E648" s="7" t="n">
        <v>1019.55</v>
      </c>
      <c r="F648" s="8" t="n">
        <v>89</v>
      </c>
      <c r="G648" s="8" t="n">
        <v>14</v>
      </c>
      <c r="H648" s="5" t="n">
        <v>2011</v>
      </c>
      <c r="I648" s="5" t="n">
        <v>7</v>
      </c>
    </row>
    <row r="649">
      <c r="A649" s="5" t="inlineStr">
        <is>
          <t>2011-07</t>
        </is>
      </c>
      <c r="B649" s="5" t="inlineStr">
        <is>
          <t>Rest of Europe</t>
        </is>
      </c>
      <c r="C649" s="5" t="inlineStr">
        <is>
          <t>23166</t>
        </is>
      </c>
      <c r="D649" s="5" t="inlineStr">
        <is>
          <t>MEDIUM CERAMIC TOP STORAGE JAR</t>
        </is>
      </c>
      <c r="E649" s="7" t="n">
        <v>15</v>
      </c>
      <c r="F649" s="8" t="n">
        <v>12</v>
      </c>
      <c r="G649" s="8" t="n">
        <v>1</v>
      </c>
      <c r="H649" s="5" t="n">
        <v>2011</v>
      </c>
      <c r="I649" s="5" t="n">
        <v>7</v>
      </c>
    </row>
    <row r="650">
      <c r="A650" s="5" t="inlineStr">
        <is>
          <t>2011-07</t>
        </is>
      </c>
      <c r="B650" s="5" t="inlineStr">
        <is>
          <t>Rest of Europe</t>
        </is>
      </c>
      <c r="C650" s="5" t="inlineStr">
        <is>
          <t>47566</t>
        </is>
      </c>
      <c r="D650" s="5" t="inlineStr">
        <is>
          <t>PARTY BUNTING</t>
        </is>
      </c>
      <c r="E650" s="7" t="n">
        <v>158.4</v>
      </c>
      <c r="F650" s="8" t="n">
        <v>32</v>
      </c>
      <c r="G650" s="8" t="n">
        <v>4</v>
      </c>
      <c r="H650" s="5" t="n">
        <v>2011</v>
      </c>
      <c r="I650" s="5" t="n">
        <v>7</v>
      </c>
    </row>
    <row r="651">
      <c r="A651" s="5" t="inlineStr">
        <is>
          <t>2011-07</t>
        </is>
      </c>
      <c r="B651" s="5" t="inlineStr">
        <is>
          <t>Rest of Europe</t>
        </is>
      </c>
      <c r="C651" s="5" t="inlineStr">
        <is>
          <t>79321</t>
        </is>
      </c>
      <c r="D651" s="5" t="inlineStr">
        <is>
          <t>CHILLI LIGHTS</t>
        </is>
      </c>
      <c r="E651" s="7" t="n">
        <v>23</v>
      </c>
      <c r="F651" s="8" t="n">
        <v>4</v>
      </c>
      <c r="G651" s="8" t="n">
        <v>1</v>
      </c>
      <c r="H651" s="5" t="n">
        <v>2011</v>
      </c>
      <c r="I651" s="5" t="n">
        <v>7</v>
      </c>
    </row>
    <row r="652">
      <c r="A652" s="5" t="inlineStr">
        <is>
          <t>2011-07</t>
        </is>
      </c>
      <c r="B652" s="5" t="inlineStr">
        <is>
          <t>Rest of Europe</t>
        </is>
      </c>
      <c r="C652" s="5" t="inlineStr">
        <is>
          <t>84879</t>
        </is>
      </c>
      <c r="D652" s="5" t="inlineStr">
        <is>
          <t>ASSORTED COLOUR BIRD ORNAMENT</t>
        </is>
      </c>
      <c r="E652" s="7" t="n">
        <v>111.54</v>
      </c>
      <c r="F652" s="8" t="n">
        <v>66</v>
      </c>
      <c r="G652" s="8" t="n">
        <v>4</v>
      </c>
      <c r="H652" s="5" t="n">
        <v>2011</v>
      </c>
      <c r="I652" s="5" t="n">
        <v>7</v>
      </c>
    </row>
    <row r="653">
      <c r="A653" s="5" t="inlineStr">
        <is>
          <t>2011-07</t>
        </is>
      </c>
      <c r="B653" s="5" t="inlineStr">
        <is>
          <t>Rest of Europe</t>
        </is>
      </c>
      <c r="C653" s="5" t="inlineStr">
        <is>
          <t>85099B</t>
        </is>
      </c>
      <c r="D653" s="5" t="inlineStr">
        <is>
          <t>JUMBO BAG RED RETROSPOT</t>
        </is>
      </c>
      <c r="E653" s="7" t="n">
        <v>166.4</v>
      </c>
      <c r="F653" s="8" t="n">
        <v>80</v>
      </c>
      <c r="G653" s="8" t="n">
        <v>6</v>
      </c>
      <c r="H653" s="5" t="n">
        <v>2011</v>
      </c>
      <c r="I653" s="5" t="n">
        <v>7</v>
      </c>
    </row>
    <row r="654">
      <c r="A654" s="5" t="inlineStr">
        <is>
          <t>2011-07</t>
        </is>
      </c>
      <c r="B654" s="5" t="inlineStr">
        <is>
          <t>Rest of Europe</t>
        </is>
      </c>
      <c r="C654" s="5" t="inlineStr">
        <is>
          <t>85123A</t>
        </is>
      </c>
      <c r="D654" s="5" t="inlineStr">
        <is>
          <t>WHITE HANGING HEART T-LIGHT HOLDER</t>
        </is>
      </c>
      <c r="E654" s="7" t="n">
        <v>41.3</v>
      </c>
      <c r="F654" s="8" t="n">
        <v>14</v>
      </c>
      <c r="G654" s="8" t="n">
        <v>2</v>
      </c>
      <c r="H654" s="5" t="n">
        <v>2011</v>
      </c>
      <c r="I654" s="5" t="n">
        <v>7</v>
      </c>
    </row>
    <row r="655">
      <c r="A655" s="5" t="inlineStr">
        <is>
          <t>2011-07</t>
        </is>
      </c>
      <c r="B655" s="5" t="inlineStr">
        <is>
          <t>Rest of Europe</t>
        </is>
      </c>
      <c r="C655" s="5" t="inlineStr">
        <is>
          <t>ALL OTHER PRODUCTS</t>
        </is>
      </c>
      <c r="D655" s="5" t="inlineStr">
        <is>
          <t>All other products</t>
        </is>
      </c>
      <c r="E655" s="7" t="n">
        <v>49959.29</v>
      </c>
      <c r="F655" s="8" t="n">
        <v>31904</v>
      </c>
      <c r="G655" s="8" t="n">
        <v>92</v>
      </c>
      <c r="H655" s="5" t="n">
        <v>2011</v>
      </c>
      <c r="I655" s="5" t="n">
        <v>7</v>
      </c>
    </row>
    <row r="656">
      <c r="A656" s="5" t="inlineStr">
        <is>
          <t>2011-07</t>
        </is>
      </c>
      <c r="B656" s="5" t="inlineStr">
        <is>
          <t>Rest of World</t>
        </is>
      </c>
      <c r="C656" s="5" t="inlineStr">
        <is>
          <t>20725</t>
        </is>
      </c>
      <c r="D656" s="5" t="inlineStr">
        <is>
          <t>LUNCH BAG RED RETROSPOT</t>
        </is>
      </c>
      <c r="E656" s="7" t="n">
        <v>46.2</v>
      </c>
      <c r="F656" s="8" t="n">
        <v>28</v>
      </c>
      <c r="G656" s="8" t="n">
        <v>3</v>
      </c>
      <c r="H656" s="5" t="n">
        <v>2011</v>
      </c>
      <c r="I656" s="5" t="n">
        <v>7</v>
      </c>
    </row>
    <row r="657">
      <c r="A657" s="5" t="inlineStr">
        <is>
          <t>2011-07</t>
        </is>
      </c>
      <c r="B657" s="5" t="inlineStr">
        <is>
          <t>Rest of World</t>
        </is>
      </c>
      <c r="C657" s="5" t="inlineStr">
        <is>
          <t>22086</t>
        </is>
      </c>
      <c r="D657" s="5" t="inlineStr">
        <is>
          <t>PAPER CHAIN KIT 50'S CHRISTMAS</t>
        </is>
      </c>
      <c r="E657" s="7" t="n">
        <v>70.8</v>
      </c>
      <c r="F657" s="8" t="n">
        <v>24</v>
      </c>
      <c r="G657" s="8" t="n">
        <v>2</v>
      </c>
      <c r="H657" s="5" t="n">
        <v>2011</v>
      </c>
      <c r="I657" s="5" t="n">
        <v>7</v>
      </c>
    </row>
    <row r="658">
      <c r="A658" s="5" t="inlineStr">
        <is>
          <t>2011-07</t>
        </is>
      </c>
      <c r="B658" s="5" t="inlineStr">
        <is>
          <t>Rest of World</t>
        </is>
      </c>
      <c r="C658" s="5" t="inlineStr">
        <is>
          <t>22197</t>
        </is>
      </c>
      <c r="D658" s="5" t="inlineStr">
        <is>
          <t>SMALL POPCORN HOLDER</t>
        </is>
      </c>
      <c r="E658" s="7" t="n">
        <v>2.55</v>
      </c>
      <c r="F658" s="8" t="n">
        <v>3</v>
      </c>
      <c r="G658" s="8" t="n">
        <v>1</v>
      </c>
      <c r="H658" s="5" t="n">
        <v>2011</v>
      </c>
      <c r="I658" s="5" t="n">
        <v>7</v>
      </c>
    </row>
    <row r="659">
      <c r="A659" s="5" t="inlineStr">
        <is>
          <t>2011-07</t>
        </is>
      </c>
      <c r="B659" s="5" t="inlineStr">
        <is>
          <t>Rest of World</t>
        </is>
      </c>
      <c r="C659" s="5" t="inlineStr">
        <is>
          <t>22423</t>
        </is>
      </c>
      <c r="D659" s="5" t="inlineStr">
        <is>
          <t>REGENCY CAKESTAND 3 TIER</t>
        </is>
      </c>
      <c r="E659" s="7" t="n">
        <v>563.85</v>
      </c>
      <c r="F659" s="8" t="n">
        <v>51</v>
      </c>
      <c r="G659" s="8" t="n">
        <v>5</v>
      </c>
      <c r="H659" s="5" t="n">
        <v>2011</v>
      </c>
      <c r="I659" s="5" t="n">
        <v>7</v>
      </c>
    </row>
    <row r="660">
      <c r="A660" s="5" t="inlineStr">
        <is>
          <t>2011-07</t>
        </is>
      </c>
      <c r="B660" s="5" t="inlineStr">
        <is>
          <t>Rest of World</t>
        </is>
      </c>
      <c r="C660" s="5" t="inlineStr">
        <is>
          <t>23166</t>
        </is>
      </c>
      <c r="D660" s="5" t="inlineStr">
        <is>
          <t>MEDIUM CERAMIC TOP STORAGE JAR</t>
        </is>
      </c>
      <c r="E660" s="7" t="n">
        <v>1.25</v>
      </c>
      <c r="F660" s="8" t="n">
        <v>1</v>
      </c>
      <c r="G660" s="8" t="n">
        <v>1</v>
      </c>
      <c r="H660" s="5" t="n">
        <v>2011</v>
      </c>
      <c r="I660" s="5" t="n">
        <v>7</v>
      </c>
    </row>
    <row r="661">
      <c r="A661" s="5" t="inlineStr">
        <is>
          <t>2011-07</t>
        </is>
      </c>
      <c r="B661" s="5" t="inlineStr">
        <is>
          <t>Rest of World</t>
        </is>
      </c>
      <c r="C661" s="5" t="inlineStr">
        <is>
          <t>47566</t>
        </is>
      </c>
      <c r="D661" s="5" t="inlineStr">
        <is>
          <t>PARTY BUNTING</t>
        </is>
      </c>
      <c r="E661" s="7" t="n">
        <v>286.7</v>
      </c>
      <c r="F661" s="8" t="n">
        <v>66</v>
      </c>
      <c r="G661" s="8" t="n">
        <v>3</v>
      </c>
      <c r="H661" s="5" t="n">
        <v>2011</v>
      </c>
      <c r="I661" s="5" t="n">
        <v>7</v>
      </c>
    </row>
    <row r="662">
      <c r="A662" s="5" t="inlineStr">
        <is>
          <t>2011-07</t>
        </is>
      </c>
      <c r="B662" s="5" t="inlineStr">
        <is>
          <t>Rest of World</t>
        </is>
      </c>
      <c r="C662" s="5" t="inlineStr">
        <is>
          <t>84347</t>
        </is>
      </c>
      <c r="D662" s="5" t="inlineStr">
        <is>
          <t>ROTATING SILVER ANGELS T-LIGHT HLDR</t>
        </is>
      </c>
      <c r="E662" s="7" t="n">
        <v>2.55</v>
      </c>
      <c r="F662" s="8" t="n">
        <v>1</v>
      </c>
      <c r="G662" s="8" t="n">
        <v>1</v>
      </c>
      <c r="H662" s="5" t="n">
        <v>2011</v>
      </c>
      <c r="I662" s="5" t="n">
        <v>7</v>
      </c>
    </row>
    <row r="663">
      <c r="A663" s="5" t="inlineStr">
        <is>
          <t>2011-07</t>
        </is>
      </c>
      <c r="B663" s="5" t="inlineStr">
        <is>
          <t>Rest of World</t>
        </is>
      </c>
      <c r="C663" s="5" t="inlineStr">
        <is>
          <t>84879</t>
        </is>
      </c>
      <c r="D663" s="5" t="inlineStr">
        <is>
          <t>ASSORTED COLOUR BIRD ORNAMENT</t>
        </is>
      </c>
      <c r="E663" s="7" t="n">
        <v>10.14</v>
      </c>
      <c r="F663" s="8" t="n">
        <v>6</v>
      </c>
      <c r="G663" s="8" t="n">
        <v>2</v>
      </c>
      <c r="H663" s="5" t="n">
        <v>2011</v>
      </c>
      <c r="I663" s="5" t="n">
        <v>7</v>
      </c>
    </row>
    <row r="664">
      <c r="A664" s="5" t="inlineStr">
        <is>
          <t>2011-07</t>
        </is>
      </c>
      <c r="B664" s="5" t="inlineStr">
        <is>
          <t>Rest of World</t>
        </is>
      </c>
      <c r="C664" s="5" t="inlineStr">
        <is>
          <t>85099B</t>
        </is>
      </c>
      <c r="D664" s="5" t="inlineStr">
        <is>
          <t>JUMBO BAG RED RETROSPOT</t>
        </is>
      </c>
      <c r="E664" s="7" t="n">
        <v>2.08</v>
      </c>
      <c r="F664" s="8" t="n">
        <v>1</v>
      </c>
      <c r="G664" s="8" t="n">
        <v>1</v>
      </c>
      <c r="H664" s="5" t="n">
        <v>2011</v>
      </c>
      <c r="I664" s="5" t="n">
        <v>7</v>
      </c>
    </row>
    <row r="665">
      <c r="A665" s="5" t="inlineStr">
        <is>
          <t>2011-07</t>
        </is>
      </c>
      <c r="B665" s="5" t="inlineStr">
        <is>
          <t>Rest of World</t>
        </is>
      </c>
      <c r="C665" s="5" t="inlineStr">
        <is>
          <t>85123A</t>
        </is>
      </c>
      <c r="D665" s="5" t="inlineStr">
        <is>
          <t>WHITE HANGING HEART T-LIGHT HOLDER</t>
        </is>
      </c>
      <c r="E665" s="7" t="n">
        <v>81.59999999999999</v>
      </c>
      <c r="F665" s="8" t="n">
        <v>32</v>
      </c>
      <c r="G665" s="8" t="n">
        <v>1</v>
      </c>
      <c r="H665" s="5" t="n">
        <v>2011</v>
      </c>
      <c r="I665" s="5" t="n">
        <v>7</v>
      </c>
    </row>
    <row r="666">
      <c r="A666" s="5" t="inlineStr">
        <is>
          <t>2011-07</t>
        </is>
      </c>
      <c r="B666" s="5" t="inlineStr">
        <is>
          <t>Rest of World</t>
        </is>
      </c>
      <c r="C666" s="5" t="inlineStr">
        <is>
          <t>ALL OTHER PRODUCTS</t>
        </is>
      </c>
      <c r="D666" s="5" t="inlineStr">
        <is>
          <t>All other products</t>
        </is>
      </c>
      <c r="E666" s="7" t="n">
        <v>15767.88</v>
      </c>
      <c r="F666" s="8" t="n">
        <v>12301</v>
      </c>
      <c r="G666" s="8" t="n">
        <v>16</v>
      </c>
      <c r="H666" s="5" t="n">
        <v>2011</v>
      </c>
      <c r="I666" s="5" t="n">
        <v>7</v>
      </c>
    </row>
    <row r="667">
      <c r="A667" s="5" t="inlineStr">
        <is>
          <t>2011-07</t>
        </is>
      </c>
      <c r="B667" s="5" t="inlineStr">
        <is>
          <t>United Kingdom</t>
        </is>
      </c>
      <c r="C667" s="5" t="inlineStr">
        <is>
          <t>20725</t>
        </is>
      </c>
      <c r="D667" s="5" t="inlineStr">
        <is>
          <t>LUNCH BAG RED RETROSPOT</t>
        </is>
      </c>
      <c r="E667" s="7" t="n">
        <v>2278.13</v>
      </c>
      <c r="F667" s="8" t="n">
        <v>1312</v>
      </c>
      <c r="G667" s="8" t="n">
        <v>116</v>
      </c>
      <c r="H667" s="5" t="n">
        <v>2011</v>
      </c>
      <c r="I667" s="5" t="n">
        <v>7</v>
      </c>
    </row>
    <row r="668">
      <c r="A668" s="5" t="inlineStr">
        <is>
          <t>2011-07</t>
        </is>
      </c>
      <c r="B668" s="5" t="inlineStr">
        <is>
          <t>United Kingdom</t>
        </is>
      </c>
      <c r="C668" s="5" t="inlineStr">
        <is>
          <t>22086</t>
        </is>
      </c>
      <c r="D668" s="5" t="inlineStr">
        <is>
          <t>PAPER CHAIN KIT 50'S CHRISTMAS</t>
        </is>
      </c>
      <c r="E668" s="7" t="n">
        <v>701.13</v>
      </c>
      <c r="F668" s="8" t="n">
        <v>239</v>
      </c>
      <c r="G668" s="8" t="n">
        <v>28</v>
      </c>
      <c r="H668" s="5" t="n">
        <v>2011</v>
      </c>
      <c r="I668" s="5" t="n">
        <v>7</v>
      </c>
    </row>
    <row r="669">
      <c r="A669" s="5" t="inlineStr">
        <is>
          <t>2011-07</t>
        </is>
      </c>
      <c r="B669" s="5" t="inlineStr">
        <is>
          <t>United Kingdom</t>
        </is>
      </c>
      <c r="C669" s="5" t="inlineStr">
        <is>
          <t>22197</t>
        </is>
      </c>
      <c r="D669" s="5" t="inlineStr">
        <is>
          <t>SMALL POPCORN HOLDER</t>
        </is>
      </c>
      <c r="E669" s="7" t="n">
        <v>1432.05</v>
      </c>
      <c r="F669" s="8" t="n">
        <v>1749</v>
      </c>
      <c r="G669" s="8" t="n">
        <v>89</v>
      </c>
      <c r="H669" s="5" t="n">
        <v>2011</v>
      </c>
      <c r="I669" s="5" t="n">
        <v>7</v>
      </c>
    </row>
    <row r="670">
      <c r="A670" s="5" t="inlineStr">
        <is>
          <t>2011-07</t>
        </is>
      </c>
      <c r="B670" s="5" t="inlineStr">
        <is>
          <t>United Kingdom</t>
        </is>
      </c>
      <c r="C670" s="5" t="inlineStr">
        <is>
          <t>22386</t>
        </is>
      </c>
      <c r="D670" s="5" t="inlineStr">
        <is>
          <t>JUMBO BAG PINK POLKADOT</t>
        </is>
      </c>
      <c r="E670" s="7" t="n">
        <v>3062.87</v>
      </c>
      <c r="F670" s="8" t="n">
        <v>1499</v>
      </c>
      <c r="G670" s="8" t="n">
        <v>114</v>
      </c>
      <c r="H670" s="5" t="n">
        <v>2011</v>
      </c>
      <c r="I670" s="5" t="n">
        <v>7</v>
      </c>
    </row>
    <row r="671">
      <c r="A671" s="5" t="inlineStr">
        <is>
          <t>2011-07</t>
        </is>
      </c>
      <c r="B671" s="5" t="inlineStr">
        <is>
          <t>United Kingdom</t>
        </is>
      </c>
      <c r="C671" s="5" t="inlineStr">
        <is>
          <t>22423</t>
        </is>
      </c>
      <c r="D671" s="5" t="inlineStr">
        <is>
          <t>REGENCY CAKESTAND 3 TIER</t>
        </is>
      </c>
      <c r="E671" s="7" t="n">
        <v>11546.61</v>
      </c>
      <c r="F671" s="8" t="n">
        <v>937</v>
      </c>
      <c r="G671" s="8" t="n">
        <v>113</v>
      </c>
      <c r="H671" s="5" t="n">
        <v>2011</v>
      </c>
      <c r="I671" s="5" t="n">
        <v>7</v>
      </c>
    </row>
    <row r="672">
      <c r="A672" s="5" t="inlineStr">
        <is>
          <t>2011-07</t>
        </is>
      </c>
      <c r="B672" s="5" t="inlineStr">
        <is>
          <t>United Kingdom</t>
        </is>
      </c>
      <c r="C672" s="5" t="inlineStr">
        <is>
          <t>23166</t>
        </is>
      </c>
      <c r="D672" s="5" t="inlineStr">
        <is>
          <t>MEDIUM CERAMIC TOP STORAGE JAR</t>
        </is>
      </c>
      <c r="E672" s="7" t="n">
        <v>366.62</v>
      </c>
      <c r="F672" s="8" t="n">
        <v>322</v>
      </c>
      <c r="G672" s="8" t="n">
        <v>20</v>
      </c>
      <c r="H672" s="5" t="n">
        <v>2011</v>
      </c>
      <c r="I672" s="5" t="n">
        <v>7</v>
      </c>
    </row>
    <row r="673">
      <c r="A673" s="5" t="inlineStr">
        <is>
          <t>2011-07</t>
        </is>
      </c>
      <c r="B673" s="5" t="inlineStr">
        <is>
          <t>United Kingdom</t>
        </is>
      </c>
      <c r="C673" s="5" t="inlineStr">
        <is>
          <t>47566</t>
        </is>
      </c>
      <c r="D673" s="5" t="inlineStr">
        <is>
          <t>PARTY BUNTING</t>
        </is>
      </c>
      <c r="E673" s="7" t="n">
        <v>13812.8</v>
      </c>
      <c r="F673" s="8" t="n">
        <v>2584</v>
      </c>
      <c r="G673" s="8" t="n">
        <v>178</v>
      </c>
      <c r="H673" s="5" t="n">
        <v>2011</v>
      </c>
      <c r="I673" s="5" t="n">
        <v>7</v>
      </c>
    </row>
    <row r="674">
      <c r="A674" s="5" t="inlineStr">
        <is>
          <t>2011-07</t>
        </is>
      </c>
      <c r="B674" s="5" t="inlineStr">
        <is>
          <t>United Kingdom</t>
        </is>
      </c>
      <c r="C674" s="5" t="inlineStr">
        <is>
          <t>79321</t>
        </is>
      </c>
      <c r="D674" s="5" t="inlineStr">
        <is>
          <t>CHILLI LIGHTS</t>
        </is>
      </c>
      <c r="E674" s="7" t="n">
        <v>4266.24</v>
      </c>
      <c r="F674" s="8" t="n">
        <v>835</v>
      </c>
      <c r="G674" s="8" t="n">
        <v>36</v>
      </c>
      <c r="H674" s="5" t="n">
        <v>2011</v>
      </c>
      <c r="I674" s="5" t="n">
        <v>7</v>
      </c>
    </row>
    <row r="675">
      <c r="A675" s="5" t="inlineStr">
        <is>
          <t>2011-07</t>
        </is>
      </c>
      <c r="B675" s="5" t="inlineStr">
        <is>
          <t>United Kingdom</t>
        </is>
      </c>
      <c r="C675" s="5" t="inlineStr">
        <is>
          <t>84347</t>
        </is>
      </c>
      <c r="D675" s="5" t="inlineStr">
        <is>
          <t>ROTATING SILVER ANGELS T-LIGHT HLDR</t>
        </is>
      </c>
      <c r="E675" s="7" t="n">
        <v>269.85</v>
      </c>
      <c r="F675" s="8" t="n">
        <v>127</v>
      </c>
      <c r="G675" s="8" t="n">
        <v>3</v>
      </c>
      <c r="H675" s="5" t="n">
        <v>2011</v>
      </c>
      <c r="I675" s="5" t="n">
        <v>7</v>
      </c>
    </row>
    <row r="676">
      <c r="A676" s="5" t="inlineStr">
        <is>
          <t>2011-07</t>
        </is>
      </c>
      <c r="B676" s="5" t="inlineStr">
        <is>
          <t>United Kingdom</t>
        </is>
      </c>
      <c r="C676" s="5" t="inlineStr">
        <is>
          <t>84879</t>
        </is>
      </c>
      <c r="D676" s="5" t="inlineStr">
        <is>
          <t>ASSORTED COLOUR BIRD ORNAMENT</t>
        </is>
      </c>
      <c r="E676" s="7" t="n">
        <v>2926.69</v>
      </c>
      <c r="F676" s="8" t="n">
        <v>1725</v>
      </c>
      <c r="G676" s="8" t="n">
        <v>94</v>
      </c>
      <c r="H676" s="5" t="n">
        <v>2011</v>
      </c>
      <c r="I676" s="5" t="n">
        <v>7</v>
      </c>
    </row>
    <row r="677">
      <c r="A677" s="5" t="inlineStr">
        <is>
          <t>2011-07</t>
        </is>
      </c>
      <c r="B677" s="5" t="inlineStr">
        <is>
          <t>United Kingdom</t>
        </is>
      </c>
      <c r="C677" s="5" t="inlineStr">
        <is>
          <t>85099B</t>
        </is>
      </c>
      <c r="D677" s="5" t="inlineStr">
        <is>
          <t>JUMBO BAG RED RETROSPOT</t>
        </is>
      </c>
      <c r="E677" s="7" t="n">
        <v>6085.39</v>
      </c>
      <c r="F677" s="8" t="n">
        <v>3048</v>
      </c>
      <c r="G677" s="8" t="n">
        <v>177</v>
      </c>
      <c r="H677" s="5" t="n">
        <v>2011</v>
      </c>
      <c r="I677" s="5" t="n">
        <v>7</v>
      </c>
    </row>
    <row r="678">
      <c r="A678" s="5" t="inlineStr">
        <is>
          <t>2011-07</t>
        </is>
      </c>
      <c r="B678" s="5" t="inlineStr">
        <is>
          <t>United Kingdom</t>
        </is>
      </c>
      <c r="C678" s="5" t="inlineStr">
        <is>
          <t>85123A</t>
        </is>
      </c>
      <c r="D678" s="5" t="inlineStr">
        <is>
          <t>WHITE HANGING HEART T-LIGHT HOLDER</t>
        </is>
      </c>
      <c r="E678" s="7" t="n">
        <v>8266.16</v>
      </c>
      <c r="F678" s="8" t="n">
        <v>2924</v>
      </c>
      <c r="G678" s="8" t="n">
        <v>153</v>
      </c>
      <c r="H678" s="5" t="n">
        <v>2011</v>
      </c>
      <c r="I678" s="5" t="n">
        <v>7</v>
      </c>
    </row>
    <row r="679">
      <c r="A679" s="5" t="inlineStr">
        <is>
          <t>2011-07</t>
        </is>
      </c>
      <c r="B679" s="5" t="inlineStr">
        <is>
          <t>United Kingdom</t>
        </is>
      </c>
      <c r="C679" s="5" t="inlineStr">
        <is>
          <t>ALL OTHER PRODUCTS</t>
        </is>
      </c>
      <c r="D679" s="5" t="inlineStr">
        <is>
          <t>All other products</t>
        </is>
      </c>
      <c r="E679" s="7" t="n">
        <v>522134.37</v>
      </c>
      <c r="F679" s="8" t="n">
        <v>314861</v>
      </c>
      <c r="G679" s="8" t="n">
        <v>1310</v>
      </c>
      <c r="H679" s="5" t="n">
        <v>2011</v>
      </c>
      <c r="I679" s="5" t="n">
        <v>7</v>
      </c>
    </row>
    <row r="680">
      <c r="A680" s="5" t="inlineStr">
        <is>
          <t>2011-08</t>
        </is>
      </c>
      <c r="B680" s="5" t="inlineStr">
        <is>
          <t>Ireland (EIRE)</t>
        </is>
      </c>
      <c r="C680" s="5" t="inlineStr">
        <is>
          <t>20725</t>
        </is>
      </c>
      <c r="D680" s="5" t="inlineStr">
        <is>
          <t>LUNCH BAG RED RETROSPOT</t>
        </is>
      </c>
      <c r="E680" s="7" t="n">
        <v>16.5</v>
      </c>
      <c r="F680" s="8" t="n">
        <v>10</v>
      </c>
      <c r="G680" s="8" t="n">
        <v>1</v>
      </c>
      <c r="H680" s="5" t="n">
        <v>2011</v>
      </c>
      <c r="I680" s="5" t="n">
        <v>8</v>
      </c>
    </row>
    <row r="681">
      <c r="A681" s="5" t="inlineStr">
        <is>
          <t>2011-08</t>
        </is>
      </c>
      <c r="B681" s="5" t="inlineStr">
        <is>
          <t>Ireland (EIRE)</t>
        </is>
      </c>
      <c r="C681" s="5" t="inlineStr">
        <is>
          <t>22086</t>
        </is>
      </c>
      <c r="D681" s="5" t="inlineStr">
        <is>
          <t>PAPER CHAIN KIT 50'S CHRISTMAS</t>
        </is>
      </c>
      <c r="E681" s="7" t="n">
        <v>341.4</v>
      </c>
      <c r="F681" s="8" t="n">
        <v>132</v>
      </c>
      <c r="G681" s="8" t="n">
        <v>2</v>
      </c>
      <c r="H681" s="5" t="n">
        <v>2011</v>
      </c>
      <c r="I681" s="5" t="n">
        <v>8</v>
      </c>
    </row>
    <row r="682">
      <c r="A682" s="5" t="inlineStr">
        <is>
          <t>2011-08</t>
        </is>
      </c>
      <c r="B682" s="5" t="inlineStr">
        <is>
          <t>Ireland (EIRE)</t>
        </is>
      </c>
      <c r="C682" s="5" t="inlineStr">
        <is>
          <t>22197</t>
        </is>
      </c>
      <c r="D682" s="5" t="inlineStr">
        <is>
          <t>SMALL POPCORN HOLDER</t>
        </is>
      </c>
      <c r="E682" s="7" t="n">
        <v>112.2</v>
      </c>
      <c r="F682" s="8" t="n">
        <v>132</v>
      </c>
      <c r="G682" s="8" t="n">
        <v>4</v>
      </c>
      <c r="H682" s="5" t="n">
        <v>2011</v>
      </c>
      <c r="I682" s="5" t="n">
        <v>8</v>
      </c>
    </row>
    <row r="683">
      <c r="A683" s="5" t="inlineStr">
        <is>
          <t>2011-08</t>
        </is>
      </c>
      <c r="B683" s="5" t="inlineStr">
        <is>
          <t>Ireland (EIRE)</t>
        </is>
      </c>
      <c r="C683" s="5" t="inlineStr">
        <is>
          <t>22386</t>
        </is>
      </c>
      <c r="D683" s="5" t="inlineStr">
        <is>
          <t>JUMBO BAG PINK POLKADOT</t>
        </is>
      </c>
      <c r="E683" s="7" t="n">
        <v>104</v>
      </c>
      <c r="F683" s="8" t="n">
        <v>50</v>
      </c>
      <c r="G683" s="8" t="n">
        <v>1</v>
      </c>
      <c r="H683" s="5" t="n">
        <v>2011</v>
      </c>
      <c r="I683" s="5" t="n">
        <v>8</v>
      </c>
    </row>
    <row r="684">
      <c r="A684" s="5" t="inlineStr">
        <is>
          <t>2011-08</t>
        </is>
      </c>
      <c r="B684" s="5" t="inlineStr">
        <is>
          <t>Ireland (EIRE)</t>
        </is>
      </c>
      <c r="C684" s="5" t="inlineStr">
        <is>
          <t>22423</t>
        </is>
      </c>
      <c r="D684" s="5" t="inlineStr">
        <is>
          <t>REGENCY CAKESTAND 3 TIER</t>
        </is>
      </c>
      <c r="E684" s="7" t="n">
        <v>828.3</v>
      </c>
      <c r="F684" s="8" t="n">
        <v>74</v>
      </c>
      <c r="G684" s="8" t="n">
        <v>7</v>
      </c>
      <c r="H684" s="5" t="n">
        <v>2011</v>
      </c>
      <c r="I684" s="5" t="n">
        <v>8</v>
      </c>
    </row>
    <row r="685">
      <c r="A685" s="5" t="inlineStr">
        <is>
          <t>2011-08</t>
        </is>
      </c>
      <c r="B685" s="5" t="inlineStr">
        <is>
          <t>Ireland (EIRE)</t>
        </is>
      </c>
      <c r="C685" s="5" t="inlineStr">
        <is>
          <t>23166</t>
        </is>
      </c>
      <c r="D685" s="5" t="inlineStr">
        <is>
          <t>MEDIUM CERAMIC TOP STORAGE JAR</t>
        </is>
      </c>
      <c r="E685" s="7" t="n">
        <v>15</v>
      </c>
      <c r="F685" s="8" t="n">
        <v>12</v>
      </c>
      <c r="G685" s="8" t="n">
        <v>1</v>
      </c>
      <c r="H685" s="5" t="n">
        <v>2011</v>
      </c>
      <c r="I685" s="5" t="n">
        <v>8</v>
      </c>
    </row>
    <row r="686">
      <c r="A686" s="5" t="inlineStr">
        <is>
          <t>2011-08</t>
        </is>
      </c>
      <c r="B686" s="5" t="inlineStr">
        <is>
          <t>Ireland (EIRE)</t>
        </is>
      </c>
      <c r="C686" s="5" t="inlineStr">
        <is>
          <t>85099B</t>
        </is>
      </c>
      <c r="D686" s="5" t="inlineStr">
        <is>
          <t>JUMBO BAG RED RETROSPOT</t>
        </is>
      </c>
      <c r="E686" s="7" t="n">
        <v>70.72</v>
      </c>
      <c r="F686" s="8" t="n">
        <v>34</v>
      </c>
      <c r="G686" s="8" t="n">
        <v>3</v>
      </c>
      <c r="H686" s="5" t="n">
        <v>2011</v>
      </c>
      <c r="I686" s="5" t="n">
        <v>8</v>
      </c>
    </row>
    <row r="687">
      <c r="A687" s="5" t="inlineStr">
        <is>
          <t>2011-08</t>
        </is>
      </c>
      <c r="B687" s="5" t="inlineStr">
        <is>
          <t>Ireland (EIRE)</t>
        </is>
      </c>
      <c r="C687" s="5" t="inlineStr">
        <is>
          <t>85123A</t>
        </is>
      </c>
      <c r="D687" s="5" t="inlineStr">
        <is>
          <t>WHITE HANGING HEART T-LIGHT HOLDER</t>
        </is>
      </c>
      <c r="E687" s="7" t="n">
        <v>198.6</v>
      </c>
      <c r="F687" s="8" t="n">
        <v>76</v>
      </c>
      <c r="G687" s="8" t="n">
        <v>2</v>
      </c>
      <c r="H687" s="5" t="n">
        <v>2011</v>
      </c>
      <c r="I687" s="5" t="n">
        <v>8</v>
      </c>
    </row>
    <row r="688">
      <c r="A688" s="5" t="inlineStr">
        <is>
          <t>2011-08</t>
        </is>
      </c>
      <c r="B688" s="5" t="inlineStr">
        <is>
          <t>Ireland (EIRE)</t>
        </is>
      </c>
      <c r="C688" s="5" t="inlineStr">
        <is>
          <t>ALL OTHER PRODUCTS</t>
        </is>
      </c>
      <c r="D688" s="5" t="inlineStr">
        <is>
          <t>All other products</t>
        </is>
      </c>
      <c r="E688" s="7" t="n">
        <v>16357.48</v>
      </c>
      <c r="F688" s="8" t="n">
        <v>9546</v>
      </c>
      <c r="G688" s="8" t="n">
        <v>18</v>
      </c>
      <c r="H688" s="5" t="n">
        <v>2011</v>
      </c>
      <c r="I688" s="5" t="n">
        <v>8</v>
      </c>
    </row>
    <row r="689">
      <c r="A689" s="5" t="inlineStr">
        <is>
          <t>2011-08</t>
        </is>
      </c>
      <c r="B689" s="5" t="inlineStr">
        <is>
          <t>Rest of Europe</t>
        </is>
      </c>
      <c r="C689" s="5" t="inlineStr">
        <is>
          <t>20725</t>
        </is>
      </c>
      <c r="D689" s="5" t="inlineStr">
        <is>
          <t>LUNCH BAG RED RETROSPOT</t>
        </is>
      </c>
      <c r="E689" s="7" t="n">
        <v>425.5</v>
      </c>
      <c r="F689" s="8" t="n">
        <v>270</v>
      </c>
      <c r="G689" s="8" t="n">
        <v>11</v>
      </c>
      <c r="H689" s="5" t="n">
        <v>2011</v>
      </c>
      <c r="I689" s="5" t="n">
        <v>8</v>
      </c>
    </row>
    <row r="690">
      <c r="A690" s="5" t="inlineStr">
        <is>
          <t>2011-08</t>
        </is>
      </c>
      <c r="B690" s="5" t="inlineStr">
        <is>
          <t>Rest of Europe</t>
        </is>
      </c>
      <c r="C690" s="5" t="inlineStr">
        <is>
          <t>22086</t>
        </is>
      </c>
      <c r="D690" s="5" t="inlineStr">
        <is>
          <t>PAPER CHAIN KIT 50'S CHRISTMAS</t>
        </is>
      </c>
      <c r="E690" s="7" t="n">
        <v>17.7</v>
      </c>
      <c r="F690" s="8" t="n">
        <v>6</v>
      </c>
      <c r="G690" s="8" t="n">
        <v>1</v>
      </c>
      <c r="H690" s="5" t="n">
        <v>2011</v>
      </c>
      <c r="I690" s="5" t="n">
        <v>8</v>
      </c>
    </row>
    <row r="691">
      <c r="A691" s="5" t="inlineStr">
        <is>
          <t>2011-08</t>
        </is>
      </c>
      <c r="B691" s="5" t="inlineStr">
        <is>
          <t>Rest of Europe</t>
        </is>
      </c>
      <c r="C691" s="5" t="inlineStr">
        <is>
          <t>22197</t>
        </is>
      </c>
      <c r="D691" s="5" t="inlineStr">
        <is>
          <t>SMALL POPCORN HOLDER</t>
        </is>
      </c>
      <c r="E691" s="7" t="n">
        <v>25.5</v>
      </c>
      <c r="F691" s="8" t="n">
        <v>30</v>
      </c>
      <c r="G691" s="8" t="n">
        <v>2</v>
      </c>
      <c r="H691" s="5" t="n">
        <v>2011</v>
      </c>
      <c r="I691" s="5" t="n">
        <v>8</v>
      </c>
    </row>
    <row r="692">
      <c r="A692" s="5" t="inlineStr">
        <is>
          <t>2011-08</t>
        </is>
      </c>
      <c r="B692" s="5" t="inlineStr">
        <is>
          <t>Rest of Europe</t>
        </is>
      </c>
      <c r="C692" s="5" t="inlineStr">
        <is>
          <t>22386</t>
        </is>
      </c>
      <c r="D692" s="5" t="inlineStr">
        <is>
          <t>JUMBO BAG PINK POLKADOT</t>
        </is>
      </c>
      <c r="E692" s="7" t="n">
        <v>724.2</v>
      </c>
      <c r="F692" s="8" t="n">
        <v>390</v>
      </c>
      <c r="G692" s="8" t="n">
        <v>10</v>
      </c>
      <c r="H692" s="5" t="n">
        <v>2011</v>
      </c>
      <c r="I692" s="5" t="n">
        <v>8</v>
      </c>
    </row>
    <row r="693">
      <c r="A693" s="5" t="inlineStr">
        <is>
          <t>2011-08</t>
        </is>
      </c>
      <c r="B693" s="5" t="inlineStr">
        <is>
          <t>Rest of Europe</t>
        </is>
      </c>
      <c r="C693" s="5" t="inlineStr">
        <is>
          <t>22423</t>
        </is>
      </c>
      <c r="D693" s="5" t="inlineStr">
        <is>
          <t>REGENCY CAKESTAND 3 TIER</t>
        </is>
      </c>
      <c r="E693" s="7" t="n">
        <v>1863.9</v>
      </c>
      <c r="F693" s="8" t="n">
        <v>162</v>
      </c>
      <c r="G693" s="8" t="n">
        <v>18</v>
      </c>
      <c r="H693" s="5" t="n">
        <v>2011</v>
      </c>
      <c r="I693" s="5" t="n">
        <v>8</v>
      </c>
    </row>
    <row r="694">
      <c r="A694" s="5" t="inlineStr">
        <is>
          <t>2011-08</t>
        </is>
      </c>
      <c r="B694" s="5" t="inlineStr">
        <is>
          <t>Rest of Europe</t>
        </is>
      </c>
      <c r="C694" s="5" t="inlineStr">
        <is>
          <t>47566</t>
        </is>
      </c>
      <c r="D694" s="5" t="inlineStr">
        <is>
          <t>PARTY BUNTING</t>
        </is>
      </c>
      <c r="E694" s="7" t="n">
        <v>499.55</v>
      </c>
      <c r="F694" s="8" t="n">
        <v>109</v>
      </c>
      <c r="G694" s="8" t="n">
        <v>9</v>
      </c>
      <c r="H694" s="5" t="n">
        <v>2011</v>
      </c>
      <c r="I694" s="5" t="n">
        <v>8</v>
      </c>
    </row>
    <row r="695">
      <c r="A695" s="5" t="inlineStr">
        <is>
          <t>2011-08</t>
        </is>
      </c>
      <c r="B695" s="5" t="inlineStr">
        <is>
          <t>Rest of Europe</t>
        </is>
      </c>
      <c r="C695" s="5" t="inlineStr">
        <is>
          <t>84347</t>
        </is>
      </c>
      <c r="D695" s="5" t="inlineStr">
        <is>
          <t>ROTATING SILVER ANGELS T-LIGHT HLDR</t>
        </is>
      </c>
      <c r="E695" s="7" t="n">
        <v>168.3</v>
      </c>
      <c r="F695" s="8" t="n">
        <v>66</v>
      </c>
      <c r="G695" s="8" t="n">
        <v>2</v>
      </c>
      <c r="H695" s="5" t="n">
        <v>2011</v>
      </c>
      <c r="I695" s="5" t="n">
        <v>8</v>
      </c>
    </row>
    <row r="696">
      <c r="A696" s="5" t="inlineStr">
        <is>
          <t>2011-08</t>
        </is>
      </c>
      <c r="B696" s="5" t="inlineStr">
        <is>
          <t>Rest of Europe</t>
        </is>
      </c>
      <c r="C696" s="5" t="inlineStr">
        <is>
          <t>84879</t>
        </is>
      </c>
      <c r="D696" s="5" t="inlineStr">
        <is>
          <t>ASSORTED COLOUR BIRD ORNAMENT</t>
        </is>
      </c>
      <c r="E696" s="7" t="n">
        <v>94.64</v>
      </c>
      <c r="F696" s="8" t="n">
        <v>56</v>
      </c>
      <c r="G696" s="8" t="n">
        <v>3</v>
      </c>
      <c r="H696" s="5" t="n">
        <v>2011</v>
      </c>
      <c r="I696" s="5" t="n">
        <v>8</v>
      </c>
    </row>
    <row r="697">
      <c r="A697" s="5" t="inlineStr">
        <is>
          <t>2011-08</t>
        </is>
      </c>
      <c r="B697" s="5" t="inlineStr">
        <is>
          <t>Rest of Europe</t>
        </is>
      </c>
      <c r="C697" s="5" t="inlineStr">
        <is>
          <t>85099B</t>
        </is>
      </c>
      <c r="D697" s="5" t="inlineStr">
        <is>
          <t>JUMBO BAG RED RETROSPOT</t>
        </is>
      </c>
      <c r="E697" s="7" t="n">
        <v>1173.6</v>
      </c>
      <c r="F697" s="8" t="n">
        <v>620</v>
      </c>
      <c r="G697" s="8" t="n">
        <v>19</v>
      </c>
      <c r="H697" s="5" t="n">
        <v>2011</v>
      </c>
      <c r="I697" s="5" t="n">
        <v>8</v>
      </c>
    </row>
    <row r="698">
      <c r="A698" s="5" t="inlineStr">
        <is>
          <t>2011-08</t>
        </is>
      </c>
      <c r="B698" s="5" t="inlineStr">
        <is>
          <t>Rest of Europe</t>
        </is>
      </c>
      <c r="C698" s="5" t="inlineStr">
        <is>
          <t>85123A</t>
        </is>
      </c>
      <c r="D698" s="5" t="inlineStr">
        <is>
          <t>WHITE HANGING HEART T-LIGHT HOLDER</t>
        </is>
      </c>
      <c r="E698" s="7" t="n">
        <v>176</v>
      </c>
      <c r="F698" s="8" t="n">
        <v>64</v>
      </c>
      <c r="G698" s="8" t="n">
        <v>5</v>
      </c>
      <c r="H698" s="5" t="n">
        <v>2011</v>
      </c>
      <c r="I698" s="5" t="n">
        <v>8</v>
      </c>
    </row>
    <row r="699">
      <c r="A699" s="5" t="inlineStr">
        <is>
          <t>2011-08</t>
        </is>
      </c>
      <c r="B699" s="5" t="inlineStr">
        <is>
          <t>Rest of Europe</t>
        </is>
      </c>
      <c r="C699" s="5" t="inlineStr">
        <is>
          <t>ALL OTHER PRODUCTS</t>
        </is>
      </c>
      <c r="D699" s="5" t="inlineStr">
        <is>
          <t>All other products</t>
        </is>
      </c>
      <c r="E699" s="7" t="n">
        <v>91707.81</v>
      </c>
      <c r="F699" s="8" t="n">
        <v>60349</v>
      </c>
      <c r="G699" s="8" t="n">
        <v>118</v>
      </c>
      <c r="H699" s="5" t="n">
        <v>2011</v>
      </c>
      <c r="I699" s="5" t="n">
        <v>8</v>
      </c>
    </row>
    <row r="700">
      <c r="A700" s="5" t="inlineStr">
        <is>
          <t>2011-08</t>
        </is>
      </c>
      <c r="B700" s="5" t="inlineStr">
        <is>
          <t>Rest of World</t>
        </is>
      </c>
      <c r="C700" s="5" t="inlineStr">
        <is>
          <t>20725</t>
        </is>
      </c>
      <c r="D700" s="5" t="inlineStr">
        <is>
          <t>LUNCH BAG RED RETROSPOT</t>
        </is>
      </c>
      <c r="E700" s="7" t="n">
        <v>16.5</v>
      </c>
      <c r="F700" s="8" t="n">
        <v>10</v>
      </c>
      <c r="G700" s="8" t="n">
        <v>1</v>
      </c>
      <c r="H700" s="5" t="n">
        <v>2011</v>
      </c>
      <c r="I700" s="5" t="n">
        <v>8</v>
      </c>
    </row>
    <row r="701">
      <c r="A701" s="5" t="inlineStr">
        <is>
          <t>2011-08</t>
        </is>
      </c>
      <c r="B701" s="5" t="inlineStr">
        <is>
          <t>Rest of World</t>
        </is>
      </c>
      <c r="C701" s="5" t="inlineStr">
        <is>
          <t>22197</t>
        </is>
      </c>
      <c r="D701" s="5" t="inlineStr">
        <is>
          <t>SMALL POPCORN HOLDER</t>
        </is>
      </c>
      <c r="E701" s="7" t="n">
        <v>20.4</v>
      </c>
      <c r="F701" s="8" t="n">
        <v>24</v>
      </c>
      <c r="G701" s="8" t="n">
        <v>1</v>
      </c>
      <c r="H701" s="5" t="n">
        <v>2011</v>
      </c>
      <c r="I701" s="5" t="n">
        <v>8</v>
      </c>
    </row>
    <row r="702">
      <c r="A702" s="5" t="inlineStr">
        <is>
          <t>2011-08</t>
        </is>
      </c>
      <c r="B702" s="5" t="inlineStr">
        <is>
          <t>Rest of World</t>
        </is>
      </c>
      <c r="C702" s="5" t="inlineStr">
        <is>
          <t>22386</t>
        </is>
      </c>
      <c r="D702" s="5" t="inlineStr">
        <is>
          <t>JUMBO BAG PINK POLKADOT</t>
        </is>
      </c>
      <c r="E702" s="7" t="n">
        <v>20.8</v>
      </c>
      <c r="F702" s="8" t="n">
        <v>10</v>
      </c>
      <c r="G702" s="8" t="n">
        <v>1</v>
      </c>
      <c r="H702" s="5" t="n">
        <v>2011</v>
      </c>
      <c r="I702" s="5" t="n">
        <v>8</v>
      </c>
    </row>
    <row r="703">
      <c r="A703" s="5" t="inlineStr">
        <is>
          <t>2011-08</t>
        </is>
      </c>
      <c r="B703" s="5" t="inlineStr">
        <is>
          <t>Rest of World</t>
        </is>
      </c>
      <c r="C703" s="5" t="inlineStr">
        <is>
          <t>22423</t>
        </is>
      </c>
      <c r="D703" s="5" t="inlineStr">
        <is>
          <t>REGENCY CAKESTAND 3 TIER</t>
        </is>
      </c>
      <c r="E703" s="7" t="n">
        <v>452.4</v>
      </c>
      <c r="F703" s="8" t="n">
        <v>40</v>
      </c>
      <c r="G703" s="8" t="n">
        <v>3</v>
      </c>
      <c r="H703" s="5" t="n">
        <v>2011</v>
      </c>
      <c r="I703" s="5" t="n">
        <v>8</v>
      </c>
    </row>
    <row r="704">
      <c r="A704" s="5" t="inlineStr">
        <is>
          <t>2011-08</t>
        </is>
      </c>
      <c r="B704" s="5" t="inlineStr">
        <is>
          <t>Rest of World</t>
        </is>
      </c>
      <c r="C704" s="5" t="inlineStr">
        <is>
          <t>23166</t>
        </is>
      </c>
      <c r="D704" s="5" t="inlineStr">
        <is>
          <t>MEDIUM CERAMIC TOP STORAGE JAR</t>
        </is>
      </c>
      <c r="E704" s="7" t="n">
        <v>114.84</v>
      </c>
      <c r="F704" s="8" t="n">
        <v>108</v>
      </c>
      <c r="G704" s="8" t="n">
        <v>2</v>
      </c>
      <c r="H704" s="5" t="n">
        <v>2011</v>
      </c>
      <c r="I704" s="5" t="n">
        <v>8</v>
      </c>
    </row>
    <row r="705">
      <c r="A705" s="5" t="inlineStr">
        <is>
          <t>2011-08</t>
        </is>
      </c>
      <c r="B705" s="5" t="inlineStr">
        <is>
          <t>Rest of World</t>
        </is>
      </c>
      <c r="C705" s="5" t="inlineStr">
        <is>
          <t>47566</t>
        </is>
      </c>
      <c r="D705" s="5" t="inlineStr">
        <is>
          <t>PARTY BUNTING</t>
        </is>
      </c>
      <c r="E705" s="7" t="n">
        <v>415</v>
      </c>
      <c r="F705" s="8" t="n">
        <v>100</v>
      </c>
      <c r="G705" s="8" t="n">
        <v>1</v>
      </c>
      <c r="H705" s="5" t="n">
        <v>2011</v>
      </c>
      <c r="I705" s="5" t="n">
        <v>8</v>
      </c>
    </row>
    <row r="706">
      <c r="A706" s="5" t="inlineStr">
        <is>
          <t>2011-08</t>
        </is>
      </c>
      <c r="B706" s="5" t="inlineStr">
        <is>
          <t>Rest of World</t>
        </is>
      </c>
      <c r="C706" s="5" t="inlineStr">
        <is>
          <t>85099B</t>
        </is>
      </c>
      <c r="D706" s="5" t="inlineStr">
        <is>
          <t>JUMBO BAG RED RETROSPOT</t>
        </is>
      </c>
      <c r="E706" s="7" t="n">
        <v>179</v>
      </c>
      <c r="F706" s="8" t="n">
        <v>100</v>
      </c>
      <c r="G706" s="8" t="n">
        <v>1</v>
      </c>
      <c r="H706" s="5" t="n">
        <v>2011</v>
      </c>
      <c r="I706" s="5" t="n">
        <v>8</v>
      </c>
    </row>
    <row r="707">
      <c r="A707" s="5" t="inlineStr">
        <is>
          <t>2011-08</t>
        </is>
      </c>
      <c r="B707" s="5" t="inlineStr">
        <is>
          <t>Rest of World</t>
        </is>
      </c>
      <c r="C707" s="5" t="inlineStr">
        <is>
          <t>ALL OTHER PRODUCTS</t>
        </is>
      </c>
      <c r="D707" s="5" t="inlineStr">
        <is>
          <t>All other products</t>
        </is>
      </c>
      <c r="E707" s="7" t="n">
        <v>29380.61</v>
      </c>
      <c r="F707" s="8" t="n">
        <v>16178</v>
      </c>
      <c r="G707" s="8" t="n">
        <v>7</v>
      </c>
      <c r="H707" s="5" t="n">
        <v>2011</v>
      </c>
      <c r="I707" s="5" t="n">
        <v>8</v>
      </c>
    </row>
    <row r="708">
      <c r="A708" s="5" t="inlineStr">
        <is>
          <t>2011-08</t>
        </is>
      </c>
      <c r="B708" s="5" t="inlineStr">
        <is>
          <t>United Kingdom</t>
        </is>
      </c>
      <c r="C708" s="5" t="inlineStr">
        <is>
          <t>20725</t>
        </is>
      </c>
      <c r="D708" s="5" t="inlineStr">
        <is>
          <t>LUNCH BAG RED RETROSPOT</t>
        </is>
      </c>
      <c r="E708" s="7" t="n">
        <v>3553.41</v>
      </c>
      <c r="F708" s="8" t="n">
        <v>1862</v>
      </c>
      <c r="G708" s="8" t="n">
        <v>144</v>
      </c>
      <c r="H708" s="5" t="n">
        <v>2011</v>
      </c>
      <c r="I708" s="5" t="n">
        <v>8</v>
      </c>
    </row>
    <row r="709">
      <c r="A709" s="5" t="inlineStr">
        <is>
          <t>2011-08</t>
        </is>
      </c>
      <c r="B709" s="5" t="inlineStr">
        <is>
          <t>United Kingdom</t>
        </is>
      </c>
      <c r="C709" s="5" t="inlineStr">
        <is>
          <t>22086</t>
        </is>
      </c>
      <c r="D709" s="5" t="inlineStr">
        <is>
          <t>PAPER CHAIN KIT 50'S CHRISTMAS</t>
        </is>
      </c>
      <c r="E709" s="7" t="n">
        <v>969.9400000000001</v>
      </c>
      <c r="F709" s="8" t="n">
        <v>350</v>
      </c>
      <c r="G709" s="8" t="n">
        <v>29</v>
      </c>
      <c r="H709" s="5" t="n">
        <v>2011</v>
      </c>
      <c r="I709" s="5" t="n">
        <v>8</v>
      </c>
    </row>
    <row r="710">
      <c r="A710" s="5" t="inlineStr">
        <is>
          <t>2011-08</t>
        </is>
      </c>
      <c r="B710" s="5" t="inlineStr">
        <is>
          <t>United Kingdom</t>
        </is>
      </c>
      <c r="C710" s="5" t="inlineStr">
        <is>
          <t>22197</t>
        </is>
      </c>
      <c r="D710" s="5" t="inlineStr">
        <is>
          <t>SMALL POPCORN HOLDER</t>
        </is>
      </c>
      <c r="E710" s="7" t="n">
        <v>3975.25</v>
      </c>
      <c r="F710" s="8" t="n">
        <v>5235</v>
      </c>
      <c r="G710" s="8" t="n">
        <v>74</v>
      </c>
      <c r="H710" s="5" t="n">
        <v>2011</v>
      </c>
      <c r="I710" s="5" t="n">
        <v>8</v>
      </c>
    </row>
    <row r="711">
      <c r="A711" s="5" t="inlineStr">
        <is>
          <t>2011-08</t>
        </is>
      </c>
      <c r="B711" s="5" t="inlineStr">
        <is>
          <t>United Kingdom</t>
        </is>
      </c>
      <c r="C711" s="5" t="inlineStr">
        <is>
          <t>22386</t>
        </is>
      </c>
      <c r="D711" s="5" t="inlineStr">
        <is>
          <t>JUMBO BAG PINK POLKADOT</t>
        </is>
      </c>
      <c r="E711" s="7" t="n">
        <v>3879.73</v>
      </c>
      <c r="F711" s="8" t="n">
        <v>1831</v>
      </c>
      <c r="G711" s="8" t="n">
        <v>98</v>
      </c>
      <c r="H711" s="5" t="n">
        <v>2011</v>
      </c>
      <c r="I711" s="5" t="n">
        <v>8</v>
      </c>
    </row>
    <row r="712">
      <c r="A712" s="5" t="inlineStr">
        <is>
          <t>2011-08</t>
        </is>
      </c>
      <c r="B712" s="5" t="inlineStr">
        <is>
          <t>United Kingdom</t>
        </is>
      </c>
      <c r="C712" s="5" t="inlineStr">
        <is>
          <t>22423</t>
        </is>
      </c>
      <c r="D712" s="5" t="inlineStr">
        <is>
          <t>REGENCY CAKESTAND 3 TIER</t>
        </is>
      </c>
      <c r="E712" s="7" t="n">
        <v>7376.7</v>
      </c>
      <c r="F712" s="8" t="n">
        <v>566</v>
      </c>
      <c r="G712" s="8" t="n">
        <v>109</v>
      </c>
      <c r="H712" s="5" t="n">
        <v>2011</v>
      </c>
      <c r="I712" s="5" t="n">
        <v>8</v>
      </c>
    </row>
    <row r="713">
      <c r="A713" s="5" t="inlineStr">
        <is>
          <t>2011-08</t>
        </is>
      </c>
      <c r="B713" s="5" t="inlineStr">
        <is>
          <t>United Kingdom</t>
        </is>
      </c>
      <c r="C713" s="5" t="inlineStr">
        <is>
          <t>23166</t>
        </is>
      </c>
      <c r="D713" s="5" t="inlineStr">
        <is>
          <t>MEDIUM CERAMIC TOP STORAGE JAR</t>
        </is>
      </c>
      <c r="E713" s="7" t="n">
        <v>410.37</v>
      </c>
      <c r="F713" s="8" t="n">
        <v>307</v>
      </c>
      <c r="G713" s="8" t="n">
        <v>36</v>
      </c>
      <c r="H713" s="5" t="n">
        <v>2011</v>
      </c>
      <c r="I713" s="5" t="n">
        <v>8</v>
      </c>
    </row>
    <row r="714">
      <c r="A714" s="5" t="inlineStr">
        <is>
          <t>2011-08</t>
        </is>
      </c>
      <c r="B714" s="5" t="inlineStr">
        <is>
          <t>United Kingdom</t>
        </is>
      </c>
      <c r="C714" s="5" t="inlineStr">
        <is>
          <t>47566</t>
        </is>
      </c>
      <c r="D714" s="5" t="inlineStr">
        <is>
          <t>PARTY BUNTING</t>
        </is>
      </c>
      <c r="E714" s="7" t="n">
        <v>8780.299999999999</v>
      </c>
      <c r="F714" s="8" t="n">
        <v>1486</v>
      </c>
      <c r="G714" s="8" t="n">
        <v>145</v>
      </c>
      <c r="H714" s="5" t="n">
        <v>2011</v>
      </c>
      <c r="I714" s="5" t="n">
        <v>8</v>
      </c>
    </row>
    <row r="715">
      <c r="A715" s="5" t="inlineStr">
        <is>
          <t>2011-08</t>
        </is>
      </c>
      <c r="B715" s="5" t="inlineStr">
        <is>
          <t>United Kingdom</t>
        </is>
      </c>
      <c r="C715" s="5" t="inlineStr">
        <is>
          <t>79321</t>
        </is>
      </c>
      <c r="D715" s="5" t="inlineStr">
        <is>
          <t>CHILLI LIGHTS</t>
        </is>
      </c>
      <c r="E715" s="7" t="n">
        <v>2260.33</v>
      </c>
      <c r="F715" s="8" t="n">
        <v>398</v>
      </c>
      <c r="G715" s="8" t="n">
        <v>31</v>
      </c>
      <c r="H715" s="5" t="n">
        <v>2011</v>
      </c>
      <c r="I715" s="5" t="n">
        <v>8</v>
      </c>
    </row>
    <row r="716">
      <c r="A716" s="5" t="inlineStr">
        <is>
          <t>2011-08</t>
        </is>
      </c>
      <c r="B716" s="5" t="inlineStr">
        <is>
          <t>United Kingdom</t>
        </is>
      </c>
      <c r="C716" s="5" t="inlineStr">
        <is>
          <t>84347</t>
        </is>
      </c>
      <c r="D716" s="5" t="inlineStr">
        <is>
          <t>ROTATING SILVER ANGELS T-LIGHT HLDR</t>
        </is>
      </c>
      <c r="E716" s="7" t="n">
        <v>134.73</v>
      </c>
      <c r="F716" s="8" t="n">
        <v>50</v>
      </c>
      <c r="G716" s="8" t="n">
        <v>10</v>
      </c>
      <c r="H716" s="5" t="n">
        <v>2011</v>
      </c>
      <c r="I716" s="5" t="n">
        <v>8</v>
      </c>
    </row>
    <row r="717">
      <c r="A717" s="5" t="inlineStr">
        <is>
          <t>2011-08</t>
        </is>
      </c>
      <c r="B717" s="5" t="inlineStr">
        <is>
          <t>United Kingdom</t>
        </is>
      </c>
      <c r="C717" s="5" t="inlineStr">
        <is>
          <t>84879</t>
        </is>
      </c>
      <c r="D717" s="5" t="inlineStr">
        <is>
          <t>ASSORTED COLOUR BIRD ORNAMENT</t>
        </is>
      </c>
      <c r="E717" s="7" t="n">
        <v>9774.09</v>
      </c>
      <c r="F717" s="8" t="n">
        <v>6489</v>
      </c>
      <c r="G717" s="8" t="n">
        <v>108</v>
      </c>
      <c r="H717" s="5" t="n">
        <v>2011</v>
      </c>
      <c r="I717" s="5" t="n">
        <v>8</v>
      </c>
    </row>
    <row r="718">
      <c r="A718" s="5" t="inlineStr">
        <is>
          <t>2011-08</t>
        </is>
      </c>
      <c r="B718" s="5" t="inlineStr">
        <is>
          <t>United Kingdom</t>
        </is>
      </c>
      <c r="C718" s="5" t="inlineStr">
        <is>
          <t>85099B</t>
        </is>
      </c>
      <c r="D718" s="5" t="inlineStr">
        <is>
          <t>JUMBO BAG RED RETROSPOT</t>
        </is>
      </c>
      <c r="E718" s="7" t="n">
        <v>9199.24</v>
      </c>
      <c r="F718" s="8" t="n">
        <v>4648</v>
      </c>
      <c r="G718" s="8" t="n">
        <v>154</v>
      </c>
      <c r="H718" s="5" t="n">
        <v>2011</v>
      </c>
      <c r="I718" s="5" t="n">
        <v>8</v>
      </c>
    </row>
    <row r="719">
      <c r="A719" s="5" t="inlineStr">
        <is>
          <t>2011-08</t>
        </is>
      </c>
      <c r="B719" s="5" t="inlineStr">
        <is>
          <t>United Kingdom</t>
        </is>
      </c>
      <c r="C719" s="5" t="inlineStr">
        <is>
          <t>85123A</t>
        </is>
      </c>
      <c r="D719" s="5" t="inlineStr">
        <is>
          <t>WHITE HANGING HEART T-LIGHT HOLDER</t>
        </is>
      </c>
      <c r="E719" s="7" t="n">
        <v>5245.97</v>
      </c>
      <c r="F719" s="8" t="n">
        <v>1935</v>
      </c>
      <c r="G719" s="8" t="n">
        <v>136</v>
      </c>
      <c r="H719" s="5" t="n">
        <v>2011</v>
      </c>
      <c r="I719" s="5" t="n">
        <v>8</v>
      </c>
    </row>
    <row r="720">
      <c r="A720" s="5" t="inlineStr">
        <is>
          <t>2011-08</t>
        </is>
      </c>
      <c r="B720" s="5" t="inlineStr">
        <is>
          <t>United Kingdom</t>
        </is>
      </c>
      <c r="C720" s="5" t="inlineStr">
        <is>
          <t>ALL OTHER PRODUCTS</t>
        </is>
      </c>
      <c r="D720" s="5" t="inlineStr">
        <is>
          <t>All other products</t>
        </is>
      </c>
      <c r="E720" s="7" t="n">
        <v>523135.99</v>
      </c>
      <c r="F720" s="8" t="n">
        <v>306780</v>
      </c>
      <c r="G720" s="8" t="n">
        <v>1183</v>
      </c>
      <c r="H720" s="5" t="n">
        <v>2011</v>
      </c>
      <c r="I720" s="5" t="n">
        <v>8</v>
      </c>
    </row>
    <row r="721">
      <c r="A721" s="5" t="inlineStr">
        <is>
          <t>2011-09</t>
        </is>
      </c>
      <c r="B721" s="5" t="inlineStr">
        <is>
          <t>Ireland (EIRE)</t>
        </is>
      </c>
      <c r="C721" s="5" t="inlineStr">
        <is>
          <t>20725</t>
        </is>
      </c>
      <c r="D721" s="5" t="inlineStr">
        <is>
          <t>LUNCH BAG RED RETROSPOT</t>
        </is>
      </c>
      <c r="E721" s="7" t="n">
        <v>145</v>
      </c>
      <c r="F721" s="8" t="n">
        <v>100</v>
      </c>
      <c r="G721" s="8" t="n">
        <v>1</v>
      </c>
      <c r="H721" s="5" t="n">
        <v>2011</v>
      </c>
      <c r="I721" s="5" t="n">
        <v>9</v>
      </c>
    </row>
    <row r="722">
      <c r="A722" s="5" t="inlineStr">
        <is>
          <t>2011-09</t>
        </is>
      </c>
      <c r="B722" s="5" t="inlineStr">
        <is>
          <t>Ireland (EIRE)</t>
        </is>
      </c>
      <c r="C722" s="5" t="inlineStr">
        <is>
          <t>22086</t>
        </is>
      </c>
      <c r="D722" s="5" t="inlineStr">
        <is>
          <t>PAPER CHAIN KIT 50'S CHRISTMAS</t>
        </is>
      </c>
      <c r="E722" s="7" t="n">
        <v>17.7</v>
      </c>
      <c r="F722" s="8" t="n">
        <v>6</v>
      </c>
      <c r="G722" s="8" t="n">
        <v>1</v>
      </c>
      <c r="H722" s="5" t="n">
        <v>2011</v>
      </c>
      <c r="I722" s="5" t="n">
        <v>9</v>
      </c>
    </row>
    <row r="723">
      <c r="A723" s="5" t="inlineStr">
        <is>
          <t>2011-09</t>
        </is>
      </c>
      <c r="B723" s="5" t="inlineStr">
        <is>
          <t>Ireland (EIRE)</t>
        </is>
      </c>
      <c r="C723" s="5" t="inlineStr">
        <is>
          <t>22197</t>
        </is>
      </c>
      <c r="D723" s="5" t="inlineStr">
        <is>
          <t>SMALL POPCORN HOLDER</t>
        </is>
      </c>
      <c r="E723" s="7" t="n">
        <v>71.40000000000001</v>
      </c>
      <c r="F723" s="8" t="n">
        <v>84</v>
      </c>
      <c r="G723" s="8" t="n">
        <v>4</v>
      </c>
      <c r="H723" s="5" t="n">
        <v>2011</v>
      </c>
      <c r="I723" s="5" t="n">
        <v>9</v>
      </c>
    </row>
    <row r="724">
      <c r="A724" s="5" t="inlineStr">
        <is>
          <t>2011-09</t>
        </is>
      </c>
      <c r="B724" s="5" t="inlineStr">
        <is>
          <t>Ireland (EIRE)</t>
        </is>
      </c>
      <c r="C724" s="5" t="inlineStr">
        <is>
          <t>22423</t>
        </is>
      </c>
      <c r="D724" s="5" t="inlineStr">
        <is>
          <t>REGENCY CAKESTAND 3 TIER</t>
        </is>
      </c>
      <c r="E724" s="7" t="n">
        <v>672.45</v>
      </c>
      <c r="F724" s="8" t="n">
        <v>55</v>
      </c>
      <c r="G724" s="8" t="n">
        <v>8</v>
      </c>
      <c r="H724" s="5" t="n">
        <v>2011</v>
      </c>
      <c r="I724" s="5" t="n">
        <v>9</v>
      </c>
    </row>
    <row r="725">
      <c r="A725" s="5" t="inlineStr">
        <is>
          <t>2011-09</t>
        </is>
      </c>
      <c r="B725" s="5" t="inlineStr">
        <is>
          <t>Ireland (EIRE)</t>
        </is>
      </c>
      <c r="C725" s="5" t="inlineStr">
        <is>
          <t>23166</t>
        </is>
      </c>
      <c r="D725" s="5" t="inlineStr">
        <is>
          <t>MEDIUM CERAMIC TOP STORAGE JAR</t>
        </is>
      </c>
      <c r="E725" s="7" t="n">
        <v>49.92</v>
      </c>
      <c r="F725" s="8" t="n">
        <v>48</v>
      </c>
      <c r="G725" s="8" t="n">
        <v>1</v>
      </c>
      <c r="H725" s="5" t="n">
        <v>2011</v>
      </c>
      <c r="I725" s="5" t="n">
        <v>9</v>
      </c>
    </row>
    <row r="726">
      <c r="A726" s="5" t="inlineStr">
        <is>
          <t>2011-09</t>
        </is>
      </c>
      <c r="B726" s="5" t="inlineStr">
        <is>
          <t>Ireland (EIRE)</t>
        </is>
      </c>
      <c r="C726" s="5" t="inlineStr">
        <is>
          <t>47566</t>
        </is>
      </c>
      <c r="D726" s="5" t="inlineStr">
        <is>
          <t>PARTY BUNTING</t>
        </is>
      </c>
      <c r="E726" s="7" t="n">
        <v>392.85</v>
      </c>
      <c r="F726" s="8" t="n">
        <v>91</v>
      </c>
      <c r="G726" s="8" t="n">
        <v>6</v>
      </c>
      <c r="H726" s="5" t="n">
        <v>2011</v>
      </c>
      <c r="I726" s="5" t="n">
        <v>9</v>
      </c>
    </row>
    <row r="727">
      <c r="A727" s="5" t="inlineStr">
        <is>
          <t>2011-09</t>
        </is>
      </c>
      <c r="B727" s="5" t="inlineStr">
        <is>
          <t>Ireland (EIRE)</t>
        </is>
      </c>
      <c r="C727" s="5" t="inlineStr">
        <is>
          <t>84347</t>
        </is>
      </c>
      <c r="D727" s="5" t="inlineStr">
        <is>
          <t>ROTATING SILVER ANGELS T-LIGHT HLDR</t>
        </is>
      </c>
      <c r="E727" s="7" t="n">
        <v>45.9</v>
      </c>
      <c r="F727" s="8" t="n">
        <v>18</v>
      </c>
      <c r="G727" s="8" t="n">
        <v>2</v>
      </c>
      <c r="H727" s="5" t="n">
        <v>2011</v>
      </c>
      <c r="I727" s="5" t="n">
        <v>9</v>
      </c>
    </row>
    <row r="728">
      <c r="A728" s="5" t="inlineStr">
        <is>
          <t>2011-09</t>
        </is>
      </c>
      <c r="B728" s="5" t="inlineStr">
        <is>
          <t>Ireland (EIRE)</t>
        </is>
      </c>
      <c r="C728" s="5" t="inlineStr">
        <is>
          <t>84879</t>
        </is>
      </c>
      <c r="D728" s="5" t="inlineStr">
        <is>
          <t>ASSORTED COLOUR BIRD ORNAMENT</t>
        </is>
      </c>
      <c r="E728" s="7" t="n">
        <v>202.8</v>
      </c>
      <c r="F728" s="8" t="n">
        <v>120</v>
      </c>
      <c r="G728" s="8" t="n">
        <v>6</v>
      </c>
      <c r="H728" s="5" t="n">
        <v>2011</v>
      </c>
      <c r="I728" s="5" t="n">
        <v>9</v>
      </c>
    </row>
    <row r="729">
      <c r="A729" s="5" t="inlineStr">
        <is>
          <t>2011-09</t>
        </is>
      </c>
      <c r="B729" s="5" t="inlineStr">
        <is>
          <t>Ireland (EIRE)</t>
        </is>
      </c>
      <c r="C729" s="5" t="inlineStr">
        <is>
          <t>85099B</t>
        </is>
      </c>
      <c r="D729" s="5" t="inlineStr">
        <is>
          <t>JUMBO BAG RED RETROSPOT</t>
        </is>
      </c>
      <c r="E729" s="7" t="n">
        <v>20.8</v>
      </c>
      <c r="F729" s="8" t="n">
        <v>10</v>
      </c>
      <c r="G729" s="8" t="n">
        <v>1</v>
      </c>
      <c r="H729" s="5" t="n">
        <v>2011</v>
      </c>
      <c r="I729" s="5" t="n">
        <v>9</v>
      </c>
    </row>
    <row r="730">
      <c r="A730" s="5" t="inlineStr">
        <is>
          <t>2011-09</t>
        </is>
      </c>
      <c r="B730" s="5" t="inlineStr">
        <is>
          <t>Ireland (EIRE)</t>
        </is>
      </c>
      <c r="C730" s="5" t="inlineStr">
        <is>
          <t>85123A</t>
        </is>
      </c>
      <c r="D730" s="5" t="inlineStr">
        <is>
          <t>WHITE HANGING HEART T-LIGHT HOLDER</t>
        </is>
      </c>
      <c r="E730" s="7" t="n">
        <v>159.3</v>
      </c>
      <c r="F730" s="8" t="n">
        <v>54</v>
      </c>
      <c r="G730" s="8" t="n">
        <v>6</v>
      </c>
      <c r="H730" s="5" t="n">
        <v>2011</v>
      </c>
      <c r="I730" s="5" t="n">
        <v>9</v>
      </c>
    </row>
    <row r="731">
      <c r="A731" s="5" t="inlineStr">
        <is>
          <t>2011-09</t>
        </is>
      </c>
      <c r="B731" s="5" t="inlineStr">
        <is>
          <t>Ireland (EIRE)</t>
        </is>
      </c>
      <c r="C731" s="5" t="inlineStr">
        <is>
          <t>ALL OTHER PRODUCTS</t>
        </is>
      </c>
      <c r="D731" s="5" t="inlineStr">
        <is>
          <t>All other products</t>
        </is>
      </c>
      <c r="E731" s="7" t="n">
        <v>40545.58</v>
      </c>
      <c r="F731" s="8" t="n">
        <v>22385</v>
      </c>
      <c r="G731" s="8" t="n">
        <v>37</v>
      </c>
      <c r="H731" s="5" t="n">
        <v>2011</v>
      </c>
      <c r="I731" s="5" t="n">
        <v>9</v>
      </c>
    </row>
    <row r="732">
      <c r="A732" s="5" t="inlineStr">
        <is>
          <t>2011-09</t>
        </is>
      </c>
      <c r="B732" s="5" t="inlineStr">
        <is>
          <t>Rest of Europe</t>
        </is>
      </c>
      <c r="C732" s="5" t="inlineStr">
        <is>
          <t>20725</t>
        </is>
      </c>
      <c r="D732" s="5" t="inlineStr">
        <is>
          <t>LUNCH BAG RED RETROSPOT</t>
        </is>
      </c>
      <c r="E732" s="7" t="n">
        <v>653</v>
      </c>
      <c r="F732" s="8" t="n">
        <v>420</v>
      </c>
      <c r="G732" s="8" t="n">
        <v>17</v>
      </c>
      <c r="H732" s="5" t="n">
        <v>2011</v>
      </c>
      <c r="I732" s="5" t="n">
        <v>9</v>
      </c>
    </row>
    <row r="733">
      <c r="A733" s="5" t="inlineStr">
        <is>
          <t>2011-09</t>
        </is>
      </c>
      <c r="B733" s="5" t="inlineStr">
        <is>
          <t>Rest of Europe</t>
        </is>
      </c>
      <c r="C733" s="5" t="inlineStr">
        <is>
          <t>22086</t>
        </is>
      </c>
      <c r="D733" s="5" t="inlineStr">
        <is>
          <t>PAPER CHAIN KIT 50'S CHRISTMAS</t>
        </is>
      </c>
      <c r="E733" s="7" t="n">
        <v>341.4</v>
      </c>
      <c r="F733" s="8" t="n">
        <v>132</v>
      </c>
      <c r="G733" s="8" t="n">
        <v>3</v>
      </c>
      <c r="H733" s="5" t="n">
        <v>2011</v>
      </c>
      <c r="I733" s="5" t="n">
        <v>9</v>
      </c>
    </row>
    <row r="734">
      <c r="A734" s="5" t="inlineStr">
        <is>
          <t>2011-09</t>
        </is>
      </c>
      <c r="B734" s="5" t="inlineStr">
        <is>
          <t>Rest of Europe</t>
        </is>
      </c>
      <c r="C734" s="5" t="inlineStr">
        <is>
          <t>22197</t>
        </is>
      </c>
      <c r="D734" s="5" t="inlineStr">
        <is>
          <t>SMALL POPCORN HOLDER</t>
        </is>
      </c>
      <c r="E734" s="7" t="n">
        <v>204.6</v>
      </c>
      <c r="F734" s="8" t="n">
        <v>256</v>
      </c>
      <c r="G734" s="8" t="n">
        <v>8</v>
      </c>
      <c r="H734" s="5" t="n">
        <v>2011</v>
      </c>
      <c r="I734" s="5" t="n">
        <v>9</v>
      </c>
    </row>
    <row r="735">
      <c r="A735" s="5" t="inlineStr">
        <is>
          <t>2011-09</t>
        </is>
      </c>
      <c r="B735" s="5" t="inlineStr">
        <is>
          <t>Rest of Europe</t>
        </is>
      </c>
      <c r="C735" s="5" t="inlineStr">
        <is>
          <t>22386</t>
        </is>
      </c>
      <c r="D735" s="5" t="inlineStr">
        <is>
          <t>JUMBO BAG PINK POLKADOT</t>
        </is>
      </c>
      <c r="E735" s="7" t="n">
        <v>462</v>
      </c>
      <c r="F735" s="8" t="n">
        <v>250</v>
      </c>
      <c r="G735" s="8" t="n">
        <v>6</v>
      </c>
      <c r="H735" s="5" t="n">
        <v>2011</v>
      </c>
      <c r="I735" s="5" t="n">
        <v>9</v>
      </c>
    </row>
    <row r="736">
      <c r="A736" s="5" t="inlineStr">
        <is>
          <t>2011-09</t>
        </is>
      </c>
      <c r="B736" s="5" t="inlineStr">
        <is>
          <t>Rest of Europe</t>
        </is>
      </c>
      <c r="C736" s="5" t="inlineStr">
        <is>
          <t>22423</t>
        </is>
      </c>
      <c r="D736" s="5" t="inlineStr">
        <is>
          <t>REGENCY CAKESTAND 3 TIER</t>
        </is>
      </c>
      <c r="E736" s="7" t="n">
        <v>1172.55</v>
      </c>
      <c r="F736" s="8" t="n">
        <v>101</v>
      </c>
      <c r="G736" s="8" t="n">
        <v>18</v>
      </c>
      <c r="H736" s="5" t="n">
        <v>2011</v>
      </c>
      <c r="I736" s="5" t="n">
        <v>9</v>
      </c>
    </row>
    <row r="737">
      <c r="A737" s="5" t="inlineStr">
        <is>
          <t>2011-09</t>
        </is>
      </c>
      <c r="B737" s="5" t="inlineStr">
        <is>
          <t>Rest of Europe</t>
        </is>
      </c>
      <c r="C737" s="5" t="inlineStr">
        <is>
          <t>47566</t>
        </is>
      </c>
      <c r="D737" s="5" t="inlineStr">
        <is>
          <t>PARTY BUNTING</t>
        </is>
      </c>
      <c r="E737" s="7" t="n">
        <v>178.2</v>
      </c>
      <c r="F737" s="8" t="n">
        <v>36</v>
      </c>
      <c r="G737" s="8" t="n">
        <v>6</v>
      </c>
      <c r="H737" s="5" t="n">
        <v>2011</v>
      </c>
      <c r="I737" s="5" t="n">
        <v>9</v>
      </c>
    </row>
    <row r="738">
      <c r="A738" s="5" t="inlineStr">
        <is>
          <t>2011-09</t>
        </is>
      </c>
      <c r="B738" s="5" t="inlineStr">
        <is>
          <t>Rest of Europe</t>
        </is>
      </c>
      <c r="C738" s="5" t="inlineStr">
        <is>
          <t>84347</t>
        </is>
      </c>
      <c r="D738" s="5" t="inlineStr">
        <is>
          <t>ROTATING SILVER ANGELS T-LIGHT HLDR</t>
        </is>
      </c>
      <c r="E738" s="7" t="n">
        <v>15.3</v>
      </c>
      <c r="F738" s="8" t="n">
        <v>6</v>
      </c>
      <c r="G738" s="8" t="n">
        <v>1</v>
      </c>
      <c r="H738" s="5" t="n">
        <v>2011</v>
      </c>
      <c r="I738" s="5" t="n">
        <v>9</v>
      </c>
    </row>
    <row r="739">
      <c r="A739" s="5" t="inlineStr">
        <is>
          <t>2011-09</t>
        </is>
      </c>
      <c r="B739" s="5" t="inlineStr">
        <is>
          <t>Rest of Europe</t>
        </is>
      </c>
      <c r="C739" s="5" t="inlineStr">
        <is>
          <t>84879</t>
        </is>
      </c>
      <c r="D739" s="5" t="inlineStr">
        <is>
          <t>ASSORTED COLOUR BIRD ORNAMENT</t>
        </is>
      </c>
      <c r="E739" s="7" t="n">
        <v>353.68</v>
      </c>
      <c r="F739" s="8" t="n">
        <v>232</v>
      </c>
      <c r="G739" s="8" t="n">
        <v>4</v>
      </c>
      <c r="H739" s="5" t="n">
        <v>2011</v>
      </c>
      <c r="I739" s="5" t="n">
        <v>9</v>
      </c>
    </row>
    <row r="740">
      <c r="A740" s="5" t="inlineStr">
        <is>
          <t>2011-09</t>
        </is>
      </c>
      <c r="B740" s="5" t="inlineStr">
        <is>
          <t>Rest of Europe</t>
        </is>
      </c>
      <c r="C740" s="5" t="inlineStr">
        <is>
          <t>85099B</t>
        </is>
      </c>
      <c r="D740" s="5" t="inlineStr">
        <is>
          <t>JUMBO BAG RED RETROSPOT</t>
        </is>
      </c>
      <c r="E740" s="7" t="n">
        <v>628.4</v>
      </c>
      <c r="F740" s="8" t="n">
        <v>330</v>
      </c>
      <c r="G740" s="8" t="n">
        <v>10</v>
      </c>
      <c r="H740" s="5" t="n">
        <v>2011</v>
      </c>
      <c r="I740" s="5" t="n">
        <v>9</v>
      </c>
    </row>
    <row r="741">
      <c r="A741" s="5" t="inlineStr">
        <is>
          <t>2011-09</t>
        </is>
      </c>
      <c r="B741" s="5" t="inlineStr">
        <is>
          <t>Rest of Europe</t>
        </is>
      </c>
      <c r="C741" s="5" t="inlineStr">
        <is>
          <t>85123A</t>
        </is>
      </c>
      <c r="D741" s="5" t="inlineStr">
        <is>
          <t>WHITE HANGING HEART T-LIGHT HOLDER</t>
        </is>
      </c>
      <c r="E741" s="7" t="n">
        <v>117</v>
      </c>
      <c r="F741" s="8" t="n">
        <v>44</v>
      </c>
      <c r="G741" s="8" t="n">
        <v>2</v>
      </c>
      <c r="H741" s="5" t="n">
        <v>2011</v>
      </c>
      <c r="I741" s="5" t="n">
        <v>9</v>
      </c>
    </row>
    <row r="742">
      <c r="A742" s="5" t="inlineStr">
        <is>
          <t>2011-09</t>
        </is>
      </c>
      <c r="B742" s="5" t="inlineStr">
        <is>
          <t>Rest of Europe</t>
        </is>
      </c>
      <c r="C742" s="5" t="inlineStr">
        <is>
          <t>ALL OTHER PRODUCTS</t>
        </is>
      </c>
      <c r="D742" s="5" t="inlineStr">
        <is>
          <t>All other products</t>
        </is>
      </c>
      <c r="E742" s="7" t="n">
        <v>98916.89</v>
      </c>
      <c r="F742" s="8" t="n">
        <v>61412</v>
      </c>
      <c r="G742" s="8" t="n">
        <v>137</v>
      </c>
      <c r="H742" s="5" t="n">
        <v>2011</v>
      </c>
      <c r="I742" s="5" t="n">
        <v>9</v>
      </c>
    </row>
    <row r="743">
      <c r="A743" s="5" t="inlineStr">
        <is>
          <t>2011-09</t>
        </is>
      </c>
      <c r="B743" s="5" t="inlineStr">
        <is>
          <t>Rest of World</t>
        </is>
      </c>
      <c r="C743" s="5" t="inlineStr">
        <is>
          <t>20725</t>
        </is>
      </c>
      <c r="D743" s="5" t="inlineStr">
        <is>
          <t>LUNCH BAG RED RETROSPOT</t>
        </is>
      </c>
      <c r="E743" s="7" t="n">
        <v>16.5</v>
      </c>
      <c r="F743" s="8" t="n">
        <v>10</v>
      </c>
      <c r="G743" s="8" t="n">
        <v>1</v>
      </c>
      <c r="H743" s="5" t="n">
        <v>2011</v>
      </c>
      <c r="I743" s="5" t="n">
        <v>9</v>
      </c>
    </row>
    <row r="744">
      <c r="A744" s="5" t="inlineStr">
        <is>
          <t>2011-09</t>
        </is>
      </c>
      <c r="B744" s="5" t="inlineStr">
        <is>
          <t>Rest of World</t>
        </is>
      </c>
      <c r="C744" s="5" t="inlineStr">
        <is>
          <t>22086</t>
        </is>
      </c>
      <c r="D744" s="5" t="inlineStr">
        <is>
          <t>PAPER CHAIN KIT 50'S CHRISTMAS</t>
        </is>
      </c>
      <c r="E744" s="7" t="n">
        <v>35.4</v>
      </c>
      <c r="F744" s="8" t="n">
        <v>12</v>
      </c>
      <c r="G744" s="8" t="n">
        <v>1</v>
      </c>
      <c r="H744" s="5" t="n">
        <v>2011</v>
      </c>
      <c r="I744" s="5" t="n">
        <v>9</v>
      </c>
    </row>
    <row r="745">
      <c r="A745" s="5" t="inlineStr">
        <is>
          <t>2011-09</t>
        </is>
      </c>
      <c r="B745" s="5" t="inlineStr">
        <is>
          <t>Rest of World</t>
        </is>
      </c>
      <c r="C745" s="5" t="inlineStr">
        <is>
          <t>22423</t>
        </is>
      </c>
      <c r="D745" s="5" t="inlineStr">
        <is>
          <t>REGENCY CAKESTAND 3 TIER</t>
        </is>
      </c>
      <c r="E745" s="7" t="n">
        <v>153</v>
      </c>
      <c r="F745" s="8" t="n">
        <v>12</v>
      </c>
      <c r="G745" s="8" t="n">
        <v>1</v>
      </c>
      <c r="H745" s="5" t="n">
        <v>2011</v>
      </c>
      <c r="I745" s="5" t="n">
        <v>9</v>
      </c>
    </row>
    <row r="746">
      <c r="A746" s="5" t="inlineStr">
        <is>
          <t>2011-09</t>
        </is>
      </c>
      <c r="B746" s="5" t="inlineStr">
        <is>
          <t>Rest of World</t>
        </is>
      </c>
      <c r="C746" s="5" t="inlineStr">
        <is>
          <t>47566</t>
        </is>
      </c>
      <c r="D746" s="5" t="inlineStr">
        <is>
          <t>PARTY BUNTING</t>
        </is>
      </c>
      <c r="E746" s="7" t="n">
        <v>59.4</v>
      </c>
      <c r="F746" s="8" t="n">
        <v>12</v>
      </c>
      <c r="G746" s="8" t="n">
        <v>1</v>
      </c>
      <c r="H746" s="5" t="n">
        <v>2011</v>
      </c>
      <c r="I746" s="5" t="n">
        <v>9</v>
      </c>
    </row>
    <row r="747">
      <c r="A747" s="5" t="inlineStr">
        <is>
          <t>2011-09</t>
        </is>
      </c>
      <c r="B747" s="5" t="inlineStr">
        <is>
          <t>Rest of World</t>
        </is>
      </c>
      <c r="C747" s="5" t="inlineStr">
        <is>
          <t>ALL OTHER PRODUCTS</t>
        </is>
      </c>
      <c r="D747" s="5" t="inlineStr">
        <is>
          <t>All other products</t>
        </is>
      </c>
      <c r="E747" s="7" t="n">
        <v>6638.08</v>
      </c>
      <c r="F747" s="8" t="n">
        <v>5152</v>
      </c>
      <c r="G747" s="8" t="n">
        <v>12</v>
      </c>
      <c r="H747" s="5" t="n">
        <v>2011</v>
      </c>
      <c r="I747" s="5" t="n">
        <v>9</v>
      </c>
    </row>
    <row r="748">
      <c r="A748" s="5" t="inlineStr">
        <is>
          <t>2011-09</t>
        </is>
      </c>
      <c r="B748" s="5" t="inlineStr">
        <is>
          <t>United Kingdom</t>
        </is>
      </c>
      <c r="C748" s="5" t="inlineStr">
        <is>
          <t>20725</t>
        </is>
      </c>
      <c r="D748" s="5" t="inlineStr">
        <is>
          <t>LUNCH BAG RED RETROSPOT</t>
        </is>
      </c>
      <c r="E748" s="7" t="n">
        <v>2112.27</v>
      </c>
      <c r="F748" s="8" t="n">
        <v>1180</v>
      </c>
      <c r="G748" s="8" t="n">
        <v>138</v>
      </c>
      <c r="H748" s="5" t="n">
        <v>2011</v>
      </c>
      <c r="I748" s="5" t="n">
        <v>9</v>
      </c>
    </row>
    <row r="749">
      <c r="A749" s="5" t="inlineStr">
        <is>
          <t>2011-09</t>
        </is>
      </c>
      <c r="B749" s="5" t="inlineStr">
        <is>
          <t>United Kingdom</t>
        </is>
      </c>
      <c r="C749" s="5" t="inlineStr">
        <is>
          <t>22086</t>
        </is>
      </c>
      <c r="D749" s="5" t="inlineStr">
        <is>
          <t>PAPER CHAIN KIT 50'S CHRISTMAS</t>
        </is>
      </c>
      <c r="E749" s="7" t="n">
        <v>5602.75</v>
      </c>
      <c r="F749" s="8" t="n">
        <v>1953</v>
      </c>
      <c r="G749" s="8" t="n">
        <v>158</v>
      </c>
      <c r="H749" s="5" t="n">
        <v>2011</v>
      </c>
      <c r="I749" s="5" t="n">
        <v>9</v>
      </c>
    </row>
    <row r="750">
      <c r="A750" s="5" t="inlineStr">
        <is>
          <t>2011-09</t>
        </is>
      </c>
      <c r="B750" s="5" t="inlineStr">
        <is>
          <t>United Kingdom</t>
        </is>
      </c>
      <c r="C750" s="5" t="inlineStr">
        <is>
          <t>22197</t>
        </is>
      </c>
      <c r="D750" s="5" t="inlineStr">
        <is>
          <t>SMALL POPCORN HOLDER</t>
        </is>
      </c>
      <c r="E750" s="7" t="n">
        <v>3331.13</v>
      </c>
      <c r="F750" s="8" t="n">
        <v>3856</v>
      </c>
      <c r="G750" s="8" t="n">
        <v>113</v>
      </c>
      <c r="H750" s="5" t="n">
        <v>2011</v>
      </c>
      <c r="I750" s="5" t="n">
        <v>9</v>
      </c>
    </row>
    <row r="751">
      <c r="A751" s="5" t="inlineStr">
        <is>
          <t>2011-09</t>
        </is>
      </c>
      <c r="B751" s="5" t="inlineStr">
        <is>
          <t>United Kingdom</t>
        </is>
      </c>
      <c r="C751" s="5" t="inlineStr">
        <is>
          <t>22386</t>
        </is>
      </c>
      <c r="D751" s="5" t="inlineStr">
        <is>
          <t>JUMBO BAG PINK POLKADOT</t>
        </is>
      </c>
      <c r="E751" s="7" t="n">
        <v>4921.93</v>
      </c>
      <c r="F751" s="8" t="n">
        <v>2461</v>
      </c>
      <c r="G751" s="8" t="n">
        <v>116</v>
      </c>
      <c r="H751" s="5" t="n">
        <v>2011</v>
      </c>
      <c r="I751" s="5" t="n">
        <v>9</v>
      </c>
    </row>
    <row r="752">
      <c r="A752" s="5" t="inlineStr">
        <is>
          <t>2011-09</t>
        </is>
      </c>
      <c r="B752" s="5" t="inlineStr">
        <is>
          <t>United Kingdom</t>
        </is>
      </c>
      <c r="C752" s="5" t="inlineStr">
        <is>
          <t>22423</t>
        </is>
      </c>
      <c r="D752" s="5" t="inlineStr">
        <is>
          <t>REGENCY CAKESTAND 3 TIER</t>
        </is>
      </c>
      <c r="E752" s="7" t="n">
        <v>7621.53</v>
      </c>
      <c r="F752" s="8" t="n">
        <v>606</v>
      </c>
      <c r="G752" s="8" t="n">
        <v>124</v>
      </c>
      <c r="H752" s="5" t="n">
        <v>2011</v>
      </c>
      <c r="I752" s="5" t="n">
        <v>9</v>
      </c>
    </row>
    <row r="753">
      <c r="A753" s="5" t="inlineStr">
        <is>
          <t>2011-09</t>
        </is>
      </c>
      <c r="B753" s="5" t="inlineStr">
        <is>
          <t>United Kingdom</t>
        </is>
      </c>
      <c r="C753" s="5" t="inlineStr">
        <is>
          <t>23166</t>
        </is>
      </c>
      <c r="D753" s="5" t="inlineStr">
        <is>
          <t>MEDIUM CERAMIC TOP STORAGE JAR</t>
        </is>
      </c>
      <c r="E753" s="7" t="n">
        <v>357.18</v>
      </c>
      <c r="F753" s="8" t="n">
        <v>298</v>
      </c>
      <c r="G753" s="8" t="n">
        <v>27</v>
      </c>
      <c r="H753" s="5" t="n">
        <v>2011</v>
      </c>
      <c r="I753" s="5" t="n">
        <v>9</v>
      </c>
    </row>
    <row r="754">
      <c r="A754" s="5" t="inlineStr">
        <is>
          <t>2011-09</t>
        </is>
      </c>
      <c r="B754" s="5" t="inlineStr">
        <is>
          <t>United Kingdom</t>
        </is>
      </c>
      <c r="C754" s="5" t="inlineStr">
        <is>
          <t>47566</t>
        </is>
      </c>
      <c r="D754" s="5" t="inlineStr">
        <is>
          <t>PARTY BUNTING</t>
        </is>
      </c>
      <c r="E754" s="7" t="n">
        <v>5752.7</v>
      </c>
      <c r="F754" s="8" t="n">
        <v>994</v>
      </c>
      <c r="G754" s="8" t="n">
        <v>128</v>
      </c>
      <c r="H754" s="5" t="n">
        <v>2011</v>
      </c>
      <c r="I754" s="5" t="n">
        <v>9</v>
      </c>
    </row>
    <row r="755">
      <c r="A755" s="5" t="inlineStr">
        <is>
          <t>2011-09</t>
        </is>
      </c>
      <c r="B755" s="5" t="inlineStr">
        <is>
          <t>United Kingdom</t>
        </is>
      </c>
      <c r="C755" s="5" t="inlineStr">
        <is>
          <t>79321</t>
        </is>
      </c>
      <c r="D755" s="5" t="inlineStr">
        <is>
          <t>CHILLI LIGHTS</t>
        </is>
      </c>
      <c r="E755" s="7" t="n">
        <v>3677.39</v>
      </c>
      <c r="F755" s="8" t="n">
        <v>675</v>
      </c>
      <c r="G755" s="8" t="n">
        <v>49</v>
      </c>
      <c r="H755" s="5" t="n">
        <v>2011</v>
      </c>
      <c r="I755" s="5" t="n">
        <v>9</v>
      </c>
    </row>
    <row r="756">
      <c r="A756" s="5" t="inlineStr">
        <is>
          <t>2011-09</t>
        </is>
      </c>
      <c r="B756" s="5" t="inlineStr">
        <is>
          <t>United Kingdom</t>
        </is>
      </c>
      <c r="C756" s="5" t="inlineStr">
        <is>
          <t>84347</t>
        </is>
      </c>
      <c r="D756" s="5" t="inlineStr">
        <is>
          <t>ROTATING SILVER ANGELS T-LIGHT HLDR</t>
        </is>
      </c>
      <c r="E756" s="7" t="n">
        <v>1699.17</v>
      </c>
      <c r="F756" s="8" t="n">
        <v>740</v>
      </c>
      <c r="G756" s="8" t="n">
        <v>41</v>
      </c>
      <c r="H756" s="5" t="n">
        <v>2011</v>
      </c>
      <c r="I756" s="5" t="n">
        <v>9</v>
      </c>
    </row>
    <row r="757">
      <c r="A757" s="5" t="inlineStr">
        <is>
          <t>2011-09</t>
        </is>
      </c>
      <c r="B757" s="5" t="inlineStr">
        <is>
          <t>United Kingdom</t>
        </is>
      </c>
      <c r="C757" s="5" t="inlineStr">
        <is>
          <t>84879</t>
        </is>
      </c>
      <c r="D757" s="5" t="inlineStr">
        <is>
          <t>ASSORTED COLOUR BIRD ORNAMENT</t>
        </is>
      </c>
      <c r="E757" s="7" t="n">
        <v>4437.04</v>
      </c>
      <c r="F757" s="8" t="n">
        <v>2712</v>
      </c>
      <c r="G757" s="8" t="n">
        <v>126</v>
      </c>
      <c r="H757" s="5" t="n">
        <v>2011</v>
      </c>
      <c r="I757" s="5" t="n">
        <v>9</v>
      </c>
    </row>
    <row r="758">
      <c r="A758" s="5" t="inlineStr">
        <is>
          <t>2011-09</t>
        </is>
      </c>
      <c r="B758" s="5" t="inlineStr">
        <is>
          <t>United Kingdom</t>
        </is>
      </c>
      <c r="C758" s="5" t="inlineStr">
        <is>
          <t>85099B</t>
        </is>
      </c>
      <c r="D758" s="5" t="inlineStr">
        <is>
          <t>JUMBO BAG RED RETROSPOT</t>
        </is>
      </c>
      <c r="E758" s="7" t="n">
        <v>8230.969999999999</v>
      </c>
      <c r="F758" s="8" t="n">
        <v>4059</v>
      </c>
      <c r="G758" s="8" t="n">
        <v>207</v>
      </c>
      <c r="H758" s="5" t="n">
        <v>2011</v>
      </c>
      <c r="I758" s="5" t="n">
        <v>9</v>
      </c>
    </row>
    <row r="759">
      <c r="A759" s="5" t="inlineStr">
        <is>
          <t>2011-09</t>
        </is>
      </c>
      <c r="B759" s="5" t="inlineStr">
        <is>
          <t>United Kingdom</t>
        </is>
      </c>
      <c r="C759" s="5" t="inlineStr">
        <is>
          <t>85123A</t>
        </is>
      </c>
      <c r="D759" s="5" t="inlineStr">
        <is>
          <t>WHITE HANGING HEART T-LIGHT HOLDER</t>
        </is>
      </c>
      <c r="E759" s="7" t="n">
        <v>6669.36</v>
      </c>
      <c r="F759" s="8" t="n">
        <v>2376</v>
      </c>
      <c r="G759" s="8" t="n">
        <v>163</v>
      </c>
      <c r="H759" s="5" t="n">
        <v>2011</v>
      </c>
      <c r="I759" s="5" t="n">
        <v>9</v>
      </c>
    </row>
    <row r="760">
      <c r="A760" s="5" t="inlineStr">
        <is>
          <t>2011-09</t>
        </is>
      </c>
      <c r="B760" s="5" t="inlineStr">
        <is>
          <t>United Kingdom</t>
        </is>
      </c>
      <c r="C760" s="5" t="inlineStr">
        <is>
          <t>ALL OTHER PRODUCTS</t>
        </is>
      </c>
      <c r="D760" s="5" t="inlineStr">
        <is>
          <t>All other products</t>
        </is>
      </c>
      <c r="E760" s="7" t="n">
        <v>821637.86</v>
      </c>
      <c r="F760" s="8" t="n">
        <v>455402</v>
      </c>
      <c r="G760" s="8" t="n">
        <v>1625</v>
      </c>
      <c r="H760" s="5" t="n">
        <v>2011</v>
      </c>
      <c r="I760" s="5" t="n">
        <v>9</v>
      </c>
    </row>
    <row r="761">
      <c r="A761" s="5" t="inlineStr">
        <is>
          <t>2011-10</t>
        </is>
      </c>
      <c r="B761" s="5" t="inlineStr">
        <is>
          <t>Ireland (EIRE)</t>
        </is>
      </c>
      <c r="C761" s="5" t="inlineStr">
        <is>
          <t>20725</t>
        </is>
      </c>
      <c r="D761" s="5" t="inlineStr">
        <is>
          <t>LUNCH BAG RED RETROSPOT</t>
        </is>
      </c>
      <c r="E761" s="7" t="n">
        <v>33</v>
      </c>
      <c r="F761" s="8" t="n">
        <v>20</v>
      </c>
      <c r="G761" s="8" t="n">
        <v>1</v>
      </c>
      <c r="H761" s="5" t="n">
        <v>2011</v>
      </c>
      <c r="I761" s="5" t="n">
        <v>10</v>
      </c>
    </row>
    <row r="762">
      <c r="A762" s="5" t="inlineStr">
        <is>
          <t>2011-10</t>
        </is>
      </c>
      <c r="B762" s="5" t="inlineStr">
        <is>
          <t>Ireland (EIRE)</t>
        </is>
      </c>
      <c r="C762" s="5" t="inlineStr">
        <is>
          <t>22086</t>
        </is>
      </c>
      <c r="D762" s="5" t="inlineStr">
        <is>
          <t>PAPER CHAIN KIT 50'S CHRISTMAS</t>
        </is>
      </c>
      <c r="E762" s="7" t="n">
        <v>172.8</v>
      </c>
      <c r="F762" s="8" t="n">
        <v>64</v>
      </c>
      <c r="G762" s="8" t="n">
        <v>4</v>
      </c>
      <c r="H762" s="5" t="n">
        <v>2011</v>
      </c>
      <c r="I762" s="5" t="n">
        <v>10</v>
      </c>
    </row>
    <row r="763">
      <c r="A763" s="5" t="inlineStr">
        <is>
          <t>2011-10</t>
        </is>
      </c>
      <c r="B763" s="5" t="inlineStr">
        <is>
          <t>Ireland (EIRE)</t>
        </is>
      </c>
      <c r="C763" s="5" t="inlineStr">
        <is>
          <t>22197</t>
        </is>
      </c>
      <c r="D763" s="5" t="inlineStr">
        <is>
          <t>SMALL POPCORN HOLDER</t>
        </is>
      </c>
      <c r="E763" s="7" t="n">
        <v>421.2</v>
      </c>
      <c r="F763" s="8" t="n">
        <v>572</v>
      </c>
      <c r="G763" s="8" t="n">
        <v>4</v>
      </c>
      <c r="H763" s="5" t="n">
        <v>2011</v>
      </c>
      <c r="I763" s="5" t="n">
        <v>10</v>
      </c>
    </row>
    <row r="764">
      <c r="A764" s="5" t="inlineStr">
        <is>
          <t>2011-10</t>
        </is>
      </c>
      <c r="B764" s="5" t="inlineStr">
        <is>
          <t>Ireland (EIRE)</t>
        </is>
      </c>
      <c r="C764" s="5" t="inlineStr">
        <is>
          <t>22386</t>
        </is>
      </c>
      <c r="D764" s="5" t="inlineStr">
        <is>
          <t>JUMBO BAG PINK POLKADOT</t>
        </is>
      </c>
      <c r="E764" s="7" t="n">
        <v>20.8</v>
      </c>
      <c r="F764" s="8" t="n">
        <v>10</v>
      </c>
      <c r="G764" s="8" t="n">
        <v>1</v>
      </c>
      <c r="H764" s="5" t="n">
        <v>2011</v>
      </c>
      <c r="I764" s="5" t="n">
        <v>10</v>
      </c>
    </row>
    <row r="765">
      <c r="A765" s="5" t="inlineStr">
        <is>
          <t>2011-10</t>
        </is>
      </c>
      <c r="B765" s="5" t="inlineStr">
        <is>
          <t>Ireland (EIRE)</t>
        </is>
      </c>
      <c r="C765" s="5" t="inlineStr">
        <is>
          <t>22423</t>
        </is>
      </c>
      <c r="D765" s="5" t="inlineStr">
        <is>
          <t>REGENCY CAKESTAND 3 TIER</t>
        </is>
      </c>
      <c r="E765" s="7" t="n">
        <v>678.6</v>
      </c>
      <c r="F765" s="8" t="n">
        <v>60</v>
      </c>
      <c r="G765" s="8" t="n">
        <v>8</v>
      </c>
      <c r="H765" s="5" t="n">
        <v>2011</v>
      </c>
      <c r="I765" s="5" t="n">
        <v>10</v>
      </c>
    </row>
    <row r="766">
      <c r="A766" s="5" t="inlineStr">
        <is>
          <t>2011-10</t>
        </is>
      </c>
      <c r="B766" s="5" t="inlineStr">
        <is>
          <t>Ireland (EIRE)</t>
        </is>
      </c>
      <c r="C766" s="5" t="inlineStr">
        <is>
          <t>47566</t>
        </is>
      </c>
      <c r="D766" s="5" t="inlineStr">
        <is>
          <t>PARTY BUNTING</t>
        </is>
      </c>
      <c r="E766" s="7" t="n">
        <v>79.2</v>
      </c>
      <c r="F766" s="8" t="n">
        <v>16</v>
      </c>
      <c r="G766" s="8" t="n">
        <v>3</v>
      </c>
      <c r="H766" s="5" t="n">
        <v>2011</v>
      </c>
      <c r="I766" s="5" t="n">
        <v>10</v>
      </c>
    </row>
    <row r="767">
      <c r="A767" s="5" t="inlineStr">
        <is>
          <t>2011-10</t>
        </is>
      </c>
      <c r="B767" s="5" t="inlineStr">
        <is>
          <t>Ireland (EIRE)</t>
        </is>
      </c>
      <c r="C767" s="5" t="inlineStr">
        <is>
          <t>79321</t>
        </is>
      </c>
      <c r="D767" s="5" t="inlineStr">
        <is>
          <t>CHILLI LIGHTS</t>
        </is>
      </c>
      <c r="E767" s="7" t="n">
        <v>23</v>
      </c>
      <c r="F767" s="8" t="n">
        <v>4</v>
      </c>
      <c r="G767" s="8" t="n">
        <v>1</v>
      </c>
      <c r="H767" s="5" t="n">
        <v>2011</v>
      </c>
      <c r="I767" s="5" t="n">
        <v>10</v>
      </c>
    </row>
    <row r="768">
      <c r="A768" s="5" t="inlineStr">
        <is>
          <t>2011-10</t>
        </is>
      </c>
      <c r="B768" s="5" t="inlineStr">
        <is>
          <t>Ireland (EIRE)</t>
        </is>
      </c>
      <c r="C768" s="5" t="inlineStr">
        <is>
          <t>84879</t>
        </is>
      </c>
      <c r="D768" s="5" t="inlineStr">
        <is>
          <t>ASSORTED COLOUR BIRD ORNAMENT</t>
        </is>
      </c>
      <c r="E768" s="7" t="n">
        <v>40.56</v>
      </c>
      <c r="F768" s="8" t="n">
        <v>24</v>
      </c>
      <c r="G768" s="8" t="n">
        <v>2</v>
      </c>
      <c r="H768" s="5" t="n">
        <v>2011</v>
      </c>
      <c r="I768" s="5" t="n">
        <v>10</v>
      </c>
    </row>
    <row r="769">
      <c r="A769" s="5" t="inlineStr">
        <is>
          <t>2011-10</t>
        </is>
      </c>
      <c r="B769" s="5" t="inlineStr">
        <is>
          <t>Ireland (EIRE)</t>
        </is>
      </c>
      <c r="C769" s="5" t="inlineStr">
        <is>
          <t>85099B</t>
        </is>
      </c>
      <c r="D769" s="5" t="inlineStr">
        <is>
          <t>JUMBO BAG RED RETROSPOT</t>
        </is>
      </c>
      <c r="E769" s="7" t="n">
        <v>41.6</v>
      </c>
      <c r="F769" s="8" t="n">
        <v>20</v>
      </c>
      <c r="G769" s="8" t="n">
        <v>2</v>
      </c>
      <c r="H769" s="5" t="n">
        <v>2011</v>
      </c>
      <c r="I769" s="5" t="n">
        <v>10</v>
      </c>
    </row>
    <row r="770">
      <c r="A770" s="5" t="inlineStr">
        <is>
          <t>2011-10</t>
        </is>
      </c>
      <c r="B770" s="5" t="inlineStr">
        <is>
          <t>Ireland (EIRE)</t>
        </is>
      </c>
      <c r="C770" s="5" t="inlineStr">
        <is>
          <t>85123A</t>
        </is>
      </c>
      <c r="D770" s="5" t="inlineStr">
        <is>
          <t>WHITE HANGING HEART T-LIGHT HOLDER</t>
        </is>
      </c>
      <c r="E770" s="7" t="n">
        <v>287.7</v>
      </c>
      <c r="F770" s="8" t="n">
        <v>110</v>
      </c>
      <c r="G770" s="8" t="n">
        <v>5</v>
      </c>
      <c r="H770" s="5" t="n">
        <v>2011</v>
      </c>
      <c r="I770" s="5" t="n">
        <v>10</v>
      </c>
    </row>
    <row r="771">
      <c r="A771" s="5" t="inlineStr">
        <is>
          <t>2011-10</t>
        </is>
      </c>
      <c r="B771" s="5" t="inlineStr">
        <is>
          <t>Ireland (EIRE)</t>
        </is>
      </c>
      <c r="C771" s="5" t="inlineStr">
        <is>
          <t>ALL OTHER PRODUCTS</t>
        </is>
      </c>
      <c r="D771" s="5" t="inlineStr">
        <is>
          <t>All other products</t>
        </is>
      </c>
      <c r="E771" s="7" t="n">
        <v>22004.46</v>
      </c>
      <c r="F771" s="8" t="n">
        <v>14990</v>
      </c>
      <c r="G771" s="8" t="n">
        <v>30</v>
      </c>
      <c r="H771" s="5" t="n">
        <v>2011</v>
      </c>
      <c r="I771" s="5" t="n">
        <v>10</v>
      </c>
    </row>
    <row r="772">
      <c r="A772" s="5" t="inlineStr">
        <is>
          <t>2011-10</t>
        </is>
      </c>
      <c r="B772" s="5" t="inlineStr">
        <is>
          <t>Rest of Europe</t>
        </is>
      </c>
      <c r="C772" s="5" t="inlineStr">
        <is>
          <t>20725</t>
        </is>
      </c>
      <c r="D772" s="5" t="inlineStr">
        <is>
          <t>LUNCH BAG RED RETROSPOT</t>
        </is>
      </c>
      <c r="E772" s="7" t="n">
        <v>448.6</v>
      </c>
      <c r="F772" s="8" t="n">
        <v>284</v>
      </c>
      <c r="G772" s="8" t="n">
        <v>12</v>
      </c>
      <c r="H772" s="5" t="n">
        <v>2011</v>
      </c>
      <c r="I772" s="5" t="n">
        <v>10</v>
      </c>
    </row>
    <row r="773">
      <c r="A773" s="5" t="inlineStr">
        <is>
          <t>2011-10</t>
        </is>
      </c>
      <c r="B773" s="5" t="inlineStr">
        <is>
          <t>Rest of Europe</t>
        </is>
      </c>
      <c r="C773" s="5" t="inlineStr">
        <is>
          <t>22086</t>
        </is>
      </c>
      <c r="D773" s="5" t="inlineStr">
        <is>
          <t>PAPER CHAIN KIT 50'S CHRISTMAS</t>
        </is>
      </c>
      <c r="E773" s="7" t="n">
        <v>106.2</v>
      </c>
      <c r="F773" s="8" t="n">
        <v>36</v>
      </c>
      <c r="G773" s="8" t="n">
        <v>2</v>
      </c>
      <c r="H773" s="5" t="n">
        <v>2011</v>
      </c>
      <c r="I773" s="5" t="n">
        <v>10</v>
      </c>
    </row>
    <row r="774">
      <c r="A774" s="5" t="inlineStr">
        <is>
          <t>2011-10</t>
        </is>
      </c>
      <c r="B774" s="5" t="inlineStr">
        <is>
          <t>Rest of Europe</t>
        </is>
      </c>
      <c r="C774" s="5" t="inlineStr">
        <is>
          <t>22197</t>
        </is>
      </c>
      <c r="D774" s="5" t="inlineStr">
        <is>
          <t>SMALL POPCORN HOLDER</t>
        </is>
      </c>
      <c r="E774" s="7" t="n">
        <v>53.55</v>
      </c>
      <c r="F774" s="8" t="n">
        <v>63</v>
      </c>
      <c r="G774" s="8" t="n">
        <v>6</v>
      </c>
      <c r="H774" s="5" t="n">
        <v>2011</v>
      </c>
      <c r="I774" s="5" t="n">
        <v>10</v>
      </c>
    </row>
    <row r="775">
      <c r="A775" s="5" t="inlineStr">
        <is>
          <t>2011-10</t>
        </is>
      </c>
      <c r="B775" s="5" t="inlineStr">
        <is>
          <t>Rest of Europe</t>
        </is>
      </c>
      <c r="C775" s="5" t="inlineStr">
        <is>
          <t>22386</t>
        </is>
      </c>
      <c r="D775" s="5" t="inlineStr">
        <is>
          <t>JUMBO BAG PINK POLKADOT</t>
        </is>
      </c>
      <c r="E775" s="7" t="n">
        <v>620.2</v>
      </c>
      <c r="F775" s="8" t="n">
        <v>340</v>
      </c>
      <c r="G775" s="8" t="n">
        <v>5</v>
      </c>
      <c r="H775" s="5" t="n">
        <v>2011</v>
      </c>
      <c r="I775" s="5" t="n">
        <v>10</v>
      </c>
    </row>
    <row r="776">
      <c r="A776" s="5" t="inlineStr">
        <is>
          <t>2011-10</t>
        </is>
      </c>
      <c r="B776" s="5" t="inlineStr">
        <is>
          <t>Rest of Europe</t>
        </is>
      </c>
      <c r="C776" s="5" t="inlineStr">
        <is>
          <t>22423</t>
        </is>
      </c>
      <c r="D776" s="5" t="inlineStr">
        <is>
          <t>REGENCY CAKESTAND 3 TIER</t>
        </is>
      </c>
      <c r="E776" s="7" t="n">
        <v>3622.5</v>
      </c>
      <c r="F776" s="8" t="n">
        <v>318</v>
      </c>
      <c r="G776" s="8" t="n">
        <v>28</v>
      </c>
      <c r="H776" s="5" t="n">
        <v>2011</v>
      </c>
      <c r="I776" s="5" t="n">
        <v>10</v>
      </c>
    </row>
    <row r="777">
      <c r="A777" s="5" t="inlineStr">
        <is>
          <t>2011-10</t>
        </is>
      </c>
      <c r="B777" s="5" t="inlineStr">
        <is>
          <t>Rest of Europe</t>
        </is>
      </c>
      <c r="C777" s="5" t="inlineStr">
        <is>
          <t>23166</t>
        </is>
      </c>
      <c r="D777" s="5" t="inlineStr">
        <is>
          <t>MEDIUM CERAMIC TOP STORAGE JAR</t>
        </is>
      </c>
      <c r="E777" s="7" t="n">
        <v>15</v>
      </c>
      <c r="F777" s="8" t="n">
        <v>12</v>
      </c>
      <c r="G777" s="8" t="n">
        <v>1</v>
      </c>
      <c r="H777" s="5" t="n">
        <v>2011</v>
      </c>
      <c r="I777" s="5" t="n">
        <v>10</v>
      </c>
    </row>
    <row r="778">
      <c r="A778" s="5" t="inlineStr">
        <is>
          <t>2011-10</t>
        </is>
      </c>
      <c r="B778" s="5" t="inlineStr">
        <is>
          <t>Rest of Europe</t>
        </is>
      </c>
      <c r="C778" s="5" t="inlineStr">
        <is>
          <t>47566</t>
        </is>
      </c>
      <c r="D778" s="5" t="inlineStr">
        <is>
          <t>PARTY BUNTING</t>
        </is>
      </c>
      <c r="E778" s="7" t="n">
        <v>19.8</v>
      </c>
      <c r="F778" s="8" t="n">
        <v>4</v>
      </c>
      <c r="G778" s="8" t="n">
        <v>1</v>
      </c>
      <c r="H778" s="5" t="n">
        <v>2011</v>
      </c>
      <c r="I778" s="5" t="n">
        <v>10</v>
      </c>
    </row>
    <row r="779">
      <c r="A779" s="5" t="inlineStr">
        <is>
          <t>2011-10</t>
        </is>
      </c>
      <c r="B779" s="5" t="inlineStr">
        <is>
          <t>Rest of Europe</t>
        </is>
      </c>
      <c r="C779" s="5" t="inlineStr">
        <is>
          <t>84347</t>
        </is>
      </c>
      <c r="D779" s="5" t="inlineStr">
        <is>
          <t>ROTATING SILVER ANGELS T-LIGHT HLDR</t>
        </is>
      </c>
      <c r="E779" s="7" t="n">
        <v>420.3</v>
      </c>
      <c r="F779" s="8" t="n">
        <v>186</v>
      </c>
      <c r="G779" s="8" t="n">
        <v>6</v>
      </c>
      <c r="H779" s="5" t="n">
        <v>2011</v>
      </c>
      <c r="I779" s="5" t="n">
        <v>10</v>
      </c>
    </row>
    <row r="780">
      <c r="A780" s="5" t="inlineStr">
        <is>
          <t>2011-10</t>
        </is>
      </c>
      <c r="B780" s="5" t="inlineStr">
        <is>
          <t>Rest of Europe</t>
        </is>
      </c>
      <c r="C780" s="5" t="inlineStr">
        <is>
          <t>84879</t>
        </is>
      </c>
      <c r="D780" s="5" t="inlineStr">
        <is>
          <t>ASSORTED COLOUR BIRD ORNAMENT</t>
        </is>
      </c>
      <c r="E780" s="7" t="n">
        <v>219.7</v>
      </c>
      <c r="F780" s="8" t="n">
        <v>130</v>
      </c>
      <c r="G780" s="8" t="n">
        <v>9</v>
      </c>
      <c r="H780" s="5" t="n">
        <v>2011</v>
      </c>
      <c r="I780" s="5" t="n">
        <v>10</v>
      </c>
    </row>
    <row r="781">
      <c r="A781" s="5" t="inlineStr">
        <is>
          <t>2011-10</t>
        </is>
      </c>
      <c r="B781" s="5" t="inlineStr">
        <is>
          <t>Rest of Europe</t>
        </is>
      </c>
      <c r="C781" s="5" t="inlineStr">
        <is>
          <t>85099B</t>
        </is>
      </c>
      <c r="D781" s="5" t="inlineStr">
        <is>
          <t>JUMBO BAG RED RETROSPOT</t>
        </is>
      </c>
      <c r="E781" s="7" t="n">
        <v>917.64</v>
      </c>
      <c r="F781" s="8" t="n">
        <v>483</v>
      </c>
      <c r="G781" s="8" t="n">
        <v>18</v>
      </c>
      <c r="H781" s="5" t="n">
        <v>2011</v>
      </c>
      <c r="I781" s="5" t="n">
        <v>10</v>
      </c>
    </row>
    <row r="782">
      <c r="A782" s="5" t="inlineStr">
        <is>
          <t>2011-10</t>
        </is>
      </c>
      <c r="B782" s="5" t="inlineStr">
        <is>
          <t>Rest of Europe</t>
        </is>
      </c>
      <c r="C782" s="5" t="inlineStr">
        <is>
          <t>85123A</t>
        </is>
      </c>
      <c r="D782" s="5" t="inlineStr">
        <is>
          <t>WHITE HANGING HEART T-LIGHT HOLDER</t>
        </is>
      </c>
      <c r="E782" s="7" t="n">
        <v>413</v>
      </c>
      <c r="F782" s="8" t="n">
        <v>140</v>
      </c>
      <c r="G782" s="8" t="n">
        <v>7</v>
      </c>
      <c r="H782" s="5" t="n">
        <v>2011</v>
      </c>
      <c r="I782" s="5" t="n">
        <v>10</v>
      </c>
    </row>
    <row r="783">
      <c r="A783" s="5" t="inlineStr">
        <is>
          <t>2011-10</t>
        </is>
      </c>
      <c r="B783" s="5" t="inlineStr">
        <is>
          <t>Rest of Europe</t>
        </is>
      </c>
      <c r="C783" s="5" t="inlineStr">
        <is>
          <t>ALL OTHER PRODUCTS</t>
        </is>
      </c>
      <c r="D783" s="5" t="inlineStr">
        <is>
          <t>All other products</t>
        </is>
      </c>
      <c r="E783" s="7" t="n">
        <v>136909.42</v>
      </c>
      <c r="F783" s="8" t="n">
        <v>87810</v>
      </c>
      <c r="G783" s="8" t="n">
        <v>170</v>
      </c>
      <c r="H783" s="5" t="n">
        <v>2011</v>
      </c>
      <c r="I783" s="5" t="n">
        <v>10</v>
      </c>
    </row>
    <row r="784">
      <c r="A784" s="5" t="inlineStr">
        <is>
          <t>2011-10</t>
        </is>
      </c>
      <c r="B784" s="5" t="inlineStr">
        <is>
          <t>Rest of World</t>
        </is>
      </c>
      <c r="C784" s="5" t="inlineStr">
        <is>
          <t>20725</t>
        </is>
      </c>
      <c r="D784" s="5" t="inlineStr">
        <is>
          <t>LUNCH BAG RED RETROSPOT</t>
        </is>
      </c>
      <c r="E784" s="7" t="n">
        <v>16.5</v>
      </c>
      <c r="F784" s="8" t="n">
        <v>10</v>
      </c>
      <c r="G784" s="8" t="n">
        <v>1</v>
      </c>
      <c r="H784" s="5" t="n">
        <v>2011</v>
      </c>
      <c r="I784" s="5" t="n">
        <v>10</v>
      </c>
    </row>
    <row r="785">
      <c r="A785" s="5" t="inlineStr">
        <is>
          <t>2011-10</t>
        </is>
      </c>
      <c r="B785" s="5" t="inlineStr">
        <is>
          <t>Rest of World</t>
        </is>
      </c>
      <c r="C785" s="5" t="inlineStr">
        <is>
          <t>22197</t>
        </is>
      </c>
      <c r="D785" s="5" t="inlineStr">
        <is>
          <t>SMALL POPCORN HOLDER</t>
        </is>
      </c>
      <c r="E785" s="7" t="n">
        <v>72</v>
      </c>
      <c r="F785" s="8" t="n">
        <v>100</v>
      </c>
      <c r="G785" s="8" t="n">
        <v>1</v>
      </c>
      <c r="H785" s="5" t="n">
        <v>2011</v>
      </c>
      <c r="I785" s="5" t="n">
        <v>10</v>
      </c>
    </row>
    <row r="786">
      <c r="A786" s="5" t="inlineStr">
        <is>
          <t>2011-10</t>
        </is>
      </c>
      <c r="B786" s="5" t="inlineStr">
        <is>
          <t>Rest of World</t>
        </is>
      </c>
      <c r="C786" s="5" t="inlineStr">
        <is>
          <t>22386</t>
        </is>
      </c>
      <c r="D786" s="5" t="inlineStr">
        <is>
          <t>JUMBO BAG PINK POLKADOT</t>
        </is>
      </c>
      <c r="E786" s="7" t="n">
        <v>179</v>
      </c>
      <c r="F786" s="8" t="n">
        <v>100</v>
      </c>
      <c r="G786" s="8" t="n">
        <v>1</v>
      </c>
      <c r="H786" s="5" t="n">
        <v>2011</v>
      </c>
      <c r="I786" s="5" t="n">
        <v>10</v>
      </c>
    </row>
    <row r="787">
      <c r="A787" s="5" t="inlineStr">
        <is>
          <t>2011-10</t>
        </is>
      </c>
      <c r="B787" s="5" t="inlineStr">
        <is>
          <t>Rest of World</t>
        </is>
      </c>
      <c r="C787" s="5" t="inlineStr">
        <is>
          <t>22423</t>
        </is>
      </c>
      <c r="D787" s="5" t="inlineStr">
        <is>
          <t>REGENCY CAKESTAND 3 TIER</t>
        </is>
      </c>
      <c r="E787" s="7" t="n">
        <v>289.95</v>
      </c>
      <c r="F787" s="8" t="n">
        <v>25</v>
      </c>
      <c r="G787" s="8" t="n">
        <v>4</v>
      </c>
      <c r="H787" s="5" t="n">
        <v>2011</v>
      </c>
      <c r="I787" s="5" t="n">
        <v>10</v>
      </c>
    </row>
    <row r="788">
      <c r="A788" s="5" t="inlineStr">
        <is>
          <t>2011-10</t>
        </is>
      </c>
      <c r="B788" s="5" t="inlineStr">
        <is>
          <t>Rest of World</t>
        </is>
      </c>
      <c r="C788" s="5" t="inlineStr">
        <is>
          <t>23166</t>
        </is>
      </c>
      <c r="D788" s="5" t="inlineStr">
        <is>
          <t>MEDIUM CERAMIC TOP STORAGE JAR</t>
        </is>
      </c>
      <c r="E788" s="7" t="n">
        <v>15</v>
      </c>
      <c r="F788" s="8" t="n">
        <v>12</v>
      </c>
      <c r="G788" s="8" t="n">
        <v>1</v>
      </c>
      <c r="H788" s="5" t="n">
        <v>2011</v>
      </c>
      <c r="I788" s="5" t="n">
        <v>10</v>
      </c>
    </row>
    <row r="789">
      <c r="A789" s="5" t="inlineStr">
        <is>
          <t>2011-10</t>
        </is>
      </c>
      <c r="B789" s="5" t="inlineStr">
        <is>
          <t>Rest of World</t>
        </is>
      </c>
      <c r="C789" s="5" t="inlineStr">
        <is>
          <t>47566</t>
        </is>
      </c>
      <c r="D789" s="5" t="inlineStr">
        <is>
          <t>PARTY BUNTING</t>
        </is>
      </c>
      <c r="E789" s="7" t="n">
        <v>24.75</v>
      </c>
      <c r="F789" s="8" t="n">
        <v>5</v>
      </c>
      <c r="G789" s="8" t="n">
        <v>2</v>
      </c>
      <c r="H789" s="5" t="n">
        <v>2011</v>
      </c>
      <c r="I789" s="5" t="n">
        <v>10</v>
      </c>
    </row>
    <row r="790">
      <c r="A790" s="5" t="inlineStr">
        <is>
          <t>2011-10</t>
        </is>
      </c>
      <c r="B790" s="5" t="inlineStr">
        <is>
          <t>Rest of World</t>
        </is>
      </c>
      <c r="C790" s="5" t="inlineStr">
        <is>
          <t>85099B</t>
        </is>
      </c>
      <c r="D790" s="5" t="inlineStr">
        <is>
          <t>JUMBO BAG RED RETROSPOT</t>
        </is>
      </c>
      <c r="E790" s="7" t="n">
        <v>20.8</v>
      </c>
      <c r="F790" s="8" t="n">
        <v>10</v>
      </c>
      <c r="G790" s="8" t="n">
        <v>1</v>
      </c>
      <c r="H790" s="5" t="n">
        <v>2011</v>
      </c>
      <c r="I790" s="5" t="n">
        <v>10</v>
      </c>
    </row>
    <row r="791">
      <c r="A791" s="5" t="inlineStr">
        <is>
          <t>2011-10</t>
        </is>
      </c>
      <c r="B791" s="5" t="inlineStr">
        <is>
          <t>Rest of World</t>
        </is>
      </c>
      <c r="C791" s="5" t="inlineStr">
        <is>
          <t>85123A</t>
        </is>
      </c>
      <c r="D791" s="5" t="inlineStr">
        <is>
          <t>WHITE HANGING HEART T-LIGHT HOLDER</t>
        </is>
      </c>
      <c r="E791" s="7" t="n">
        <v>2.95</v>
      </c>
      <c r="F791" s="8" t="n">
        <v>1</v>
      </c>
      <c r="G791" s="8" t="n">
        <v>1</v>
      </c>
      <c r="H791" s="5" t="n">
        <v>2011</v>
      </c>
      <c r="I791" s="5" t="n">
        <v>10</v>
      </c>
    </row>
    <row r="792">
      <c r="A792" s="5" t="inlineStr">
        <is>
          <t>2011-10</t>
        </is>
      </c>
      <c r="B792" s="5" t="inlineStr">
        <is>
          <t>Rest of World</t>
        </is>
      </c>
      <c r="C792" s="5" t="inlineStr">
        <is>
          <t>ALL OTHER PRODUCTS</t>
        </is>
      </c>
      <c r="D792" s="5" t="inlineStr">
        <is>
          <t>All other products</t>
        </is>
      </c>
      <c r="E792" s="7" t="n">
        <v>23657.09</v>
      </c>
      <c r="F792" s="8" t="n">
        <v>11407</v>
      </c>
      <c r="G792" s="8" t="n">
        <v>14</v>
      </c>
      <c r="H792" s="5" t="n">
        <v>2011</v>
      </c>
      <c r="I792" s="5" t="n">
        <v>10</v>
      </c>
    </row>
    <row r="793">
      <c r="A793" s="5" t="inlineStr">
        <is>
          <t>2011-10</t>
        </is>
      </c>
      <c r="B793" s="5" t="inlineStr">
        <is>
          <t>United Kingdom</t>
        </is>
      </c>
      <c r="C793" s="5" t="inlineStr">
        <is>
          <t>20725</t>
        </is>
      </c>
      <c r="D793" s="5" t="inlineStr">
        <is>
          <t>LUNCH BAG RED RETROSPOT</t>
        </is>
      </c>
      <c r="E793" s="7" t="n">
        <v>2305.75</v>
      </c>
      <c r="F793" s="8" t="n">
        <v>1041</v>
      </c>
      <c r="G793" s="8" t="n">
        <v>107</v>
      </c>
      <c r="H793" s="5" t="n">
        <v>2011</v>
      </c>
      <c r="I793" s="5" t="n">
        <v>10</v>
      </c>
    </row>
    <row r="794">
      <c r="A794" s="5" t="inlineStr">
        <is>
          <t>2011-10</t>
        </is>
      </c>
      <c r="B794" s="5" t="inlineStr">
        <is>
          <t>United Kingdom</t>
        </is>
      </c>
      <c r="C794" s="5" t="inlineStr">
        <is>
          <t>22086</t>
        </is>
      </c>
      <c r="D794" s="5" t="inlineStr">
        <is>
          <t>PAPER CHAIN KIT 50'S CHRISTMAS</t>
        </is>
      </c>
      <c r="E794" s="7" t="n">
        <v>9743.540000000001</v>
      </c>
      <c r="F794" s="8" t="n">
        <v>3326</v>
      </c>
      <c r="G794" s="8" t="n">
        <v>225</v>
      </c>
      <c r="H794" s="5" t="n">
        <v>2011</v>
      </c>
      <c r="I794" s="5" t="n">
        <v>10</v>
      </c>
    </row>
    <row r="795">
      <c r="A795" s="5" t="inlineStr">
        <is>
          <t>2011-10</t>
        </is>
      </c>
      <c r="B795" s="5" t="inlineStr">
        <is>
          <t>United Kingdom</t>
        </is>
      </c>
      <c r="C795" s="5" t="inlineStr">
        <is>
          <t>22197</t>
        </is>
      </c>
      <c r="D795" s="5" t="inlineStr">
        <is>
          <t>SMALL POPCORN HOLDER</t>
        </is>
      </c>
      <c r="E795" s="7" t="n">
        <v>4263.8</v>
      </c>
      <c r="F795" s="8" t="n">
        <v>5168</v>
      </c>
      <c r="G795" s="8" t="n">
        <v>131</v>
      </c>
      <c r="H795" s="5" t="n">
        <v>2011</v>
      </c>
      <c r="I795" s="5" t="n">
        <v>10</v>
      </c>
    </row>
    <row r="796">
      <c r="A796" s="5" t="inlineStr">
        <is>
          <t>2011-10</t>
        </is>
      </c>
      <c r="B796" s="5" t="inlineStr">
        <is>
          <t>United Kingdom</t>
        </is>
      </c>
      <c r="C796" s="5" t="inlineStr">
        <is>
          <t>22386</t>
        </is>
      </c>
      <c r="D796" s="5" t="inlineStr">
        <is>
          <t>JUMBO BAG PINK POLKADOT</t>
        </is>
      </c>
      <c r="E796" s="7" t="n">
        <v>5287.68</v>
      </c>
      <c r="F796" s="8" t="n">
        <v>2756</v>
      </c>
      <c r="G796" s="8" t="n">
        <v>94</v>
      </c>
      <c r="H796" s="5" t="n">
        <v>2011</v>
      </c>
      <c r="I796" s="5" t="n">
        <v>10</v>
      </c>
    </row>
    <row r="797">
      <c r="A797" s="5" t="inlineStr">
        <is>
          <t>2011-10</t>
        </is>
      </c>
      <c r="B797" s="5" t="inlineStr">
        <is>
          <t>United Kingdom</t>
        </is>
      </c>
      <c r="C797" s="5" t="inlineStr">
        <is>
          <t>22423</t>
        </is>
      </c>
      <c r="D797" s="5" t="inlineStr">
        <is>
          <t>REGENCY CAKESTAND 3 TIER</t>
        </is>
      </c>
      <c r="E797" s="7" t="n">
        <v>8664.690000000001</v>
      </c>
      <c r="F797" s="8" t="n">
        <v>678</v>
      </c>
      <c r="G797" s="8" t="n">
        <v>128</v>
      </c>
      <c r="H797" s="5" t="n">
        <v>2011</v>
      </c>
      <c r="I797" s="5" t="n">
        <v>10</v>
      </c>
    </row>
    <row r="798">
      <c r="A798" s="5" t="inlineStr">
        <is>
          <t>2011-10</t>
        </is>
      </c>
      <c r="B798" s="5" t="inlineStr">
        <is>
          <t>United Kingdom</t>
        </is>
      </c>
      <c r="C798" s="5" t="inlineStr">
        <is>
          <t>23166</t>
        </is>
      </c>
      <c r="D798" s="5" t="inlineStr">
        <is>
          <t>MEDIUM CERAMIC TOP STORAGE JAR</t>
        </is>
      </c>
      <c r="E798" s="7" t="n">
        <v>290.57</v>
      </c>
      <c r="F798" s="8" t="n">
        <v>226</v>
      </c>
      <c r="G798" s="8" t="n">
        <v>29</v>
      </c>
      <c r="H798" s="5" t="n">
        <v>2011</v>
      </c>
      <c r="I798" s="5" t="n">
        <v>10</v>
      </c>
    </row>
    <row r="799">
      <c r="A799" s="5" t="inlineStr">
        <is>
          <t>2011-10</t>
        </is>
      </c>
      <c r="B799" s="5" t="inlineStr">
        <is>
          <t>United Kingdom</t>
        </is>
      </c>
      <c r="C799" s="5" t="inlineStr">
        <is>
          <t>47566</t>
        </is>
      </c>
      <c r="D799" s="5" t="inlineStr">
        <is>
          <t>PARTY BUNTING</t>
        </is>
      </c>
      <c r="E799" s="7" t="n">
        <v>3592.73</v>
      </c>
      <c r="F799" s="8" t="n">
        <v>595</v>
      </c>
      <c r="G799" s="8" t="n">
        <v>93</v>
      </c>
      <c r="H799" s="5" t="n">
        <v>2011</v>
      </c>
      <c r="I799" s="5" t="n">
        <v>10</v>
      </c>
    </row>
    <row r="800">
      <c r="A800" s="5" t="inlineStr">
        <is>
          <t>2011-10</t>
        </is>
      </c>
      <c r="B800" s="5" t="inlineStr">
        <is>
          <t>United Kingdom</t>
        </is>
      </c>
      <c r="C800" s="5" t="inlineStr">
        <is>
          <t>79321</t>
        </is>
      </c>
      <c r="D800" s="5" t="inlineStr">
        <is>
          <t>CHILLI LIGHTS</t>
        </is>
      </c>
      <c r="E800" s="7" t="n">
        <v>4655.13</v>
      </c>
      <c r="F800" s="8" t="n">
        <v>824</v>
      </c>
      <c r="G800" s="8" t="n">
        <v>58</v>
      </c>
      <c r="H800" s="5" t="n">
        <v>2011</v>
      </c>
      <c r="I800" s="5" t="n">
        <v>10</v>
      </c>
    </row>
    <row r="801">
      <c r="A801" s="5" t="inlineStr">
        <is>
          <t>2011-10</t>
        </is>
      </c>
      <c r="B801" s="5" t="inlineStr">
        <is>
          <t>United Kingdom</t>
        </is>
      </c>
      <c r="C801" s="5" t="inlineStr">
        <is>
          <t>84347</t>
        </is>
      </c>
      <c r="D801" s="5" t="inlineStr">
        <is>
          <t>ROTATING SILVER ANGELS T-LIGHT HLDR</t>
        </is>
      </c>
      <c r="E801" s="7" t="n">
        <v>3985.8</v>
      </c>
      <c r="F801" s="8" t="n">
        <v>1817</v>
      </c>
      <c r="G801" s="8" t="n">
        <v>70</v>
      </c>
      <c r="H801" s="5" t="n">
        <v>2011</v>
      </c>
      <c r="I801" s="5" t="n">
        <v>10</v>
      </c>
    </row>
    <row r="802">
      <c r="A802" s="5" t="inlineStr">
        <is>
          <t>2011-10</t>
        </is>
      </c>
      <c r="B802" s="5" t="inlineStr">
        <is>
          <t>United Kingdom</t>
        </is>
      </c>
      <c r="C802" s="5" t="inlineStr">
        <is>
          <t>84879</t>
        </is>
      </c>
      <c r="D802" s="5" t="inlineStr">
        <is>
          <t>ASSORTED COLOUR BIRD ORNAMENT</t>
        </is>
      </c>
      <c r="E802" s="7" t="n">
        <v>4399.18</v>
      </c>
      <c r="F802" s="8" t="n">
        <v>2590</v>
      </c>
      <c r="G802" s="8" t="n">
        <v>134</v>
      </c>
      <c r="H802" s="5" t="n">
        <v>2011</v>
      </c>
      <c r="I802" s="5" t="n">
        <v>10</v>
      </c>
    </row>
    <row r="803">
      <c r="A803" s="5" t="inlineStr">
        <is>
          <t>2011-10</t>
        </is>
      </c>
      <c r="B803" s="5" t="inlineStr">
        <is>
          <t>United Kingdom</t>
        </is>
      </c>
      <c r="C803" s="5" t="inlineStr">
        <is>
          <t>85099B</t>
        </is>
      </c>
      <c r="D803" s="5" t="inlineStr">
        <is>
          <t>JUMBO BAG RED RETROSPOT</t>
        </is>
      </c>
      <c r="E803" s="7" t="n">
        <v>9505.77</v>
      </c>
      <c r="F803" s="8" t="n">
        <v>4899</v>
      </c>
      <c r="G803" s="8" t="n">
        <v>168</v>
      </c>
      <c r="H803" s="5" t="n">
        <v>2011</v>
      </c>
      <c r="I803" s="5" t="n">
        <v>10</v>
      </c>
    </row>
    <row r="804">
      <c r="A804" s="5" t="inlineStr">
        <is>
          <t>2011-10</t>
        </is>
      </c>
      <c r="B804" s="5" t="inlineStr">
        <is>
          <t>United Kingdom</t>
        </is>
      </c>
      <c r="C804" s="5" t="inlineStr">
        <is>
          <t>85123A</t>
        </is>
      </c>
      <c r="D804" s="5" t="inlineStr">
        <is>
          <t>WHITE HANGING HEART T-LIGHT HOLDER</t>
        </is>
      </c>
      <c r="E804" s="7" t="n">
        <v>4046.5</v>
      </c>
      <c r="F804" s="8" t="n">
        <v>1434</v>
      </c>
      <c r="G804" s="8" t="n">
        <v>144</v>
      </c>
      <c r="H804" s="5" t="n">
        <v>2011</v>
      </c>
      <c r="I804" s="5" t="n">
        <v>10</v>
      </c>
    </row>
    <row r="805">
      <c r="A805" s="5" t="inlineStr">
        <is>
          <t>2011-10</t>
        </is>
      </c>
      <c r="B805" s="5" t="inlineStr">
        <is>
          <t>United Kingdom</t>
        </is>
      </c>
      <c r="C805" s="5" t="inlineStr">
        <is>
          <t>ALL OTHER PRODUCTS</t>
        </is>
      </c>
      <c r="D805" s="5" t="inlineStr">
        <is>
          <t>All other products</t>
        </is>
      </c>
      <c r="E805" s="7" t="n">
        <v>850726.24</v>
      </c>
      <c r="F805" s="8" t="n">
        <v>476877</v>
      </c>
      <c r="G805" s="8" t="n">
        <v>1778</v>
      </c>
      <c r="H805" s="5" t="n">
        <v>2011</v>
      </c>
      <c r="I805" s="5" t="n">
        <v>10</v>
      </c>
    </row>
    <row r="806">
      <c r="A806" s="5" t="inlineStr">
        <is>
          <t>2011-11</t>
        </is>
      </c>
      <c r="B806" s="5" t="inlineStr">
        <is>
          <t>Ireland (EIRE)</t>
        </is>
      </c>
      <c r="C806" s="5" t="inlineStr">
        <is>
          <t>20725</t>
        </is>
      </c>
      <c r="D806" s="5" t="inlineStr">
        <is>
          <t>LUNCH BAG RED RETROSPOT</t>
        </is>
      </c>
      <c r="E806" s="7" t="n">
        <v>16.5</v>
      </c>
      <c r="F806" s="8" t="n">
        <v>10</v>
      </c>
      <c r="G806" s="8" t="n">
        <v>1</v>
      </c>
      <c r="H806" s="5" t="n">
        <v>2011</v>
      </c>
      <c r="I806" s="5" t="n">
        <v>11</v>
      </c>
    </row>
    <row r="807">
      <c r="A807" s="5" t="inlineStr">
        <is>
          <t>2011-11</t>
        </is>
      </c>
      <c r="B807" s="5" t="inlineStr">
        <is>
          <t>Ireland (EIRE)</t>
        </is>
      </c>
      <c r="C807" s="5" t="inlineStr">
        <is>
          <t>22086</t>
        </is>
      </c>
      <c r="D807" s="5" t="inlineStr">
        <is>
          <t>PAPER CHAIN KIT 50'S CHRISTMAS</t>
        </is>
      </c>
      <c r="E807" s="7" t="n">
        <v>531.9</v>
      </c>
      <c r="F807" s="8" t="n">
        <v>202</v>
      </c>
      <c r="G807" s="8" t="n">
        <v>5</v>
      </c>
      <c r="H807" s="5" t="n">
        <v>2011</v>
      </c>
      <c r="I807" s="5" t="n">
        <v>11</v>
      </c>
    </row>
    <row r="808">
      <c r="A808" s="5" t="inlineStr">
        <is>
          <t>2011-11</t>
        </is>
      </c>
      <c r="B808" s="5" t="inlineStr">
        <is>
          <t>Ireland (EIRE)</t>
        </is>
      </c>
      <c r="C808" s="5" t="inlineStr">
        <is>
          <t>22197</t>
        </is>
      </c>
      <c r="D808" s="5" t="inlineStr">
        <is>
          <t>SMALL POPCORN HOLDER</t>
        </is>
      </c>
      <c r="E808" s="7" t="n">
        <v>81.59999999999999</v>
      </c>
      <c r="F808" s="8" t="n">
        <v>96</v>
      </c>
      <c r="G808" s="8" t="n">
        <v>5</v>
      </c>
      <c r="H808" s="5" t="n">
        <v>2011</v>
      </c>
      <c r="I808" s="5" t="n">
        <v>11</v>
      </c>
    </row>
    <row r="809">
      <c r="A809" s="5" t="inlineStr">
        <is>
          <t>2011-11</t>
        </is>
      </c>
      <c r="B809" s="5" t="inlineStr">
        <is>
          <t>Ireland (EIRE)</t>
        </is>
      </c>
      <c r="C809" s="5" t="inlineStr">
        <is>
          <t>22423</t>
        </is>
      </c>
      <c r="D809" s="5" t="inlineStr">
        <is>
          <t>REGENCY CAKESTAND 3 TIER</t>
        </is>
      </c>
      <c r="E809" s="7" t="n">
        <v>595.95</v>
      </c>
      <c r="F809" s="8" t="n">
        <v>49</v>
      </c>
      <c r="G809" s="8" t="n">
        <v>8</v>
      </c>
      <c r="H809" s="5" t="n">
        <v>2011</v>
      </c>
      <c r="I809" s="5" t="n">
        <v>11</v>
      </c>
    </row>
    <row r="810">
      <c r="A810" s="5" t="inlineStr">
        <is>
          <t>2011-11</t>
        </is>
      </c>
      <c r="B810" s="5" t="inlineStr">
        <is>
          <t>Ireland (EIRE)</t>
        </is>
      </c>
      <c r="C810" s="5" t="inlineStr">
        <is>
          <t>23166</t>
        </is>
      </c>
      <c r="D810" s="5" t="inlineStr">
        <is>
          <t>MEDIUM CERAMIC TOP STORAGE JAR</t>
        </is>
      </c>
      <c r="E810" s="7" t="n">
        <v>15</v>
      </c>
      <c r="F810" s="8" t="n">
        <v>12</v>
      </c>
      <c r="G810" s="8" t="n">
        <v>1</v>
      </c>
      <c r="H810" s="5" t="n">
        <v>2011</v>
      </c>
      <c r="I810" s="5" t="n">
        <v>11</v>
      </c>
    </row>
    <row r="811">
      <c r="A811" s="5" t="inlineStr">
        <is>
          <t>2011-11</t>
        </is>
      </c>
      <c r="B811" s="5" t="inlineStr">
        <is>
          <t>Ireland (EIRE)</t>
        </is>
      </c>
      <c r="C811" s="5" t="inlineStr">
        <is>
          <t>47566</t>
        </is>
      </c>
      <c r="D811" s="5" t="inlineStr">
        <is>
          <t>PARTY BUNTING</t>
        </is>
      </c>
      <c r="E811" s="7" t="n">
        <v>418.2</v>
      </c>
      <c r="F811" s="8" t="n">
        <v>100</v>
      </c>
      <c r="G811" s="8" t="n">
        <v>2</v>
      </c>
      <c r="H811" s="5" t="n">
        <v>2011</v>
      </c>
      <c r="I811" s="5" t="n">
        <v>11</v>
      </c>
    </row>
    <row r="812">
      <c r="A812" s="5" t="inlineStr">
        <is>
          <t>2011-11</t>
        </is>
      </c>
      <c r="B812" s="5" t="inlineStr">
        <is>
          <t>Ireland (EIRE)</t>
        </is>
      </c>
      <c r="C812" s="5" t="inlineStr">
        <is>
          <t>79321</t>
        </is>
      </c>
      <c r="D812" s="5" t="inlineStr">
        <is>
          <t>CHILLI LIGHTS</t>
        </is>
      </c>
      <c r="E812" s="7" t="n">
        <v>23</v>
      </c>
      <c r="F812" s="8" t="n">
        <v>4</v>
      </c>
      <c r="G812" s="8" t="n">
        <v>1</v>
      </c>
      <c r="H812" s="5" t="n">
        <v>2011</v>
      </c>
      <c r="I812" s="5" t="n">
        <v>11</v>
      </c>
    </row>
    <row r="813">
      <c r="A813" s="5" t="inlineStr">
        <is>
          <t>2011-11</t>
        </is>
      </c>
      <c r="B813" s="5" t="inlineStr">
        <is>
          <t>Ireland (EIRE)</t>
        </is>
      </c>
      <c r="C813" s="5" t="inlineStr">
        <is>
          <t>84347</t>
        </is>
      </c>
      <c r="D813" s="5" t="inlineStr">
        <is>
          <t>ROTATING SILVER ANGELS T-LIGHT HLDR</t>
        </is>
      </c>
      <c r="E813" s="7" t="n">
        <v>153</v>
      </c>
      <c r="F813" s="8" t="n">
        <v>60</v>
      </c>
      <c r="G813" s="8" t="n">
        <v>4</v>
      </c>
      <c r="H813" s="5" t="n">
        <v>2011</v>
      </c>
      <c r="I813" s="5" t="n">
        <v>11</v>
      </c>
    </row>
    <row r="814">
      <c r="A814" s="5" t="inlineStr">
        <is>
          <t>2011-11</t>
        </is>
      </c>
      <c r="B814" s="5" t="inlineStr">
        <is>
          <t>Ireland (EIRE)</t>
        </is>
      </c>
      <c r="C814" s="5" t="inlineStr">
        <is>
          <t>84879</t>
        </is>
      </c>
      <c r="D814" s="5" t="inlineStr">
        <is>
          <t>ASSORTED COLOUR BIRD ORNAMENT</t>
        </is>
      </c>
      <c r="E814" s="7" t="n">
        <v>54.08</v>
      </c>
      <c r="F814" s="8" t="n">
        <v>32</v>
      </c>
      <c r="G814" s="8" t="n">
        <v>2</v>
      </c>
      <c r="H814" s="5" t="n">
        <v>2011</v>
      </c>
      <c r="I814" s="5" t="n">
        <v>11</v>
      </c>
    </row>
    <row r="815">
      <c r="A815" s="5" t="inlineStr">
        <is>
          <t>2011-11</t>
        </is>
      </c>
      <c r="B815" s="5" t="inlineStr">
        <is>
          <t>Ireland (EIRE)</t>
        </is>
      </c>
      <c r="C815" s="5" t="inlineStr">
        <is>
          <t>85099B</t>
        </is>
      </c>
      <c r="D815" s="5" t="inlineStr">
        <is>
          <t>JUMBO BAG RED RETROSPOT</t>
        </is>
      </c>
      <c r="E815" s="7" t="n">
        <v>20.8</v>
      </c>
      <c r="F815" s="8" t="n">
        <v>10</v>
      </c>
      <c r="G815" s="8" t="n">
        <v>1</v>
      </c>
      <c r="H815" s="5" t="n">
        <v>2011</v>
      </c>
      <c r="I815" s="5" t="n">
        <v>11</v>
      </c>
    </row>
    <row r="816">
      <c r="A816" s="5" t="inlineStr">
        <is>
          <t>2011-11</t>
        </is>
      </c>
      <c r="B816" s="5" t="inlineStr">
        <is>
          <t>Ireland (EIRE)</t>
        </is>
      </c>
      <c r="C816" s="5" t="inlineStr">
        <is>
          <t>85123A</t>
        </is>
      </c>
      <c r="D816" s="5" t="inlineStr">
        <is>
          <t>WHITE HANGING HEART T-LIGHT HOLDER</t>
        </is>
      </c>
      <c r="E816" s="7" t="n">
        <v>1120.8</v>
      </c>
      <c r="F816" s="8" t="n">
        <v>432</v>
      </c>
      <c r="G816" s="8" t="n">
        <v>9</v>
      </c>
      <c r="H816" s="5" t="n">
        <v>2011</v>
      </c>
      <c r="I816" s="5" t="n">
        <v>11</v>
      </c>
    </row>
    <row r="817">
      <c r="A817" s="5" t="inlineStr">
        <is>
          <t>2011-11</t>
        </is>
      </c>
      <c r="B817" s="5" t="inlineStr">
        <is>
          <t>Ireland (EIRE)</t>
        </is>
      </c>
      <c r="C817" s="5" t="inlineStr">
        <is>
          <t>ALL OTHER PRODUCTS</t>
        </is>
      </c>
      <c r="D817" s="5" t="inlineStr">
        <is>
          <t>All other products</t>
        </is>
      </c>
      <c r="E817" s="7" t="n">
        <v>26782.6</v>
      </c>
      <c r="F817" s="8" t="n">
        <v>15630</v>
      </c>
      <c r="G817" s="8" t="n">
        <v>42</v>
      </c>
      <c r="H817" s="5" t="n">
        <v>2011</v>
      </c>
      <c r="I817" s="5" t="n">
        <v>11</v>
      </c>
    </row>
    <row r="818">
      <c r="A818" s="5" t="inlineStr">
        <is>
          <t>2011-11</t>
        </is>
      </c>
      <c r="B818" s="5" t="inlineStr">
        <is>
          <t>Rest of Europe</t>
        </is>
      </c>
      <c r="C818" s="5" t="inlineStr">
        <is>
          <t>20725</t>
        </is>
      </c>
      <c r="D818" s="5" t="inlineStr">
        <is>
          <t>LUNCH BAG RED RETROSPOT</t>
        </is>
      </c>
      <c r="E818" s="7" t="n">
        <v>377.65</v>
      </c>
      <c r="F818" s="8" t="n">
        <v>241</v>
      </c>
      <c r="G818" s="8" t="n">
        <v>13</v>
      </c>
      <c r="H818" s="5" t="n">
        <v>2011</v>
      </c>
      <c r="I818" s="5" t="n">
        <v>11</v>
      </c>
    </row>
    <row r="819">
      <c r="A819" s="5" t="inlineStr">
        <is>
          <t>2011-11</t>
        </is>
      </c>
      <c r="B819" s="5" t="inlineStr">
        <is>
          <t>Rest of Europe</t>
        </is>
      </c>
      <c r="C819" s="5" t="inlineStr">
        <is>
          <t>22086</t>
        </is>
      </c>
      <c r="D819" s="5" t="inlineStr">
        <is>
          <t>PAPER CHAIN KIT 50'S CHRISTMAS</t>
        </is>
      </c>
      <c r="E819" s="7" t="n">
        <v>138.65</v>
      </c>
      <c r="F819" s="8" t="n">
        <v>47</v>
      </c>
      <c r="G819" s="8" t="n">
        <v>9</v>
      </c>
      <c r="H819" s="5" t="n">
        <v>2011</v>
      </c>
      <c r="I819" s="5" t="n">
        <v>11</v>
      </c>
    </row>
    <row r="820">
      <c r="A820" s="5" t="inlineStr">
        <is>
          <t>2011-11</t>
        </is>
      </c>
      <c r="B820" s="5" t="inlineStr">
        <is>
          <t>Rest of Europe</t>
        </is>
      </c>
      <c r="C820" s="5" t="inlineStr">
        <is>
          <t>22197</t>
        </is>
      </c>
      <c r="D820" s="5" t="inlineStr">
        <is>
          <t>SMALL POPCORN HOLDER</t>
        </is>
      </c>
      <c r="E820" s="7" t="n">
        <v>251.1</v>
      </c>
      <c r="F820" s="8" t="n">
        <v>326</v>
      </c>
      <c r="G820" s="8" t="n">
        <v>9</v>
      </c>
      <c r="H820" s="5" t="n">
        <v>2011</v>
      </c>
      <c r="I820" s="5" t="n">
        <v>11</v>
      </c>
    </row>
    <row r="821">
      <c r="A821" s="5" t="inlineStr">
        <is>
          <t>2011-11</t>
        </is>
      </c>
      <c r="B821" s="5" t="inlineStr">
        <is>
          <t>Rest of Europe</t>
        </is>
      </c>
      <c r="C821" s="5" t="inlineStr">
        <is>
          <t>22386</t>
        </is>
      </c>
      <c r="D821" s="5" t="inlineStr">
        <is>
          <t>JUMBO BAG PINK POLKADOT</t>
        </is>
      </c>
      <c r="E821" s="7" t="n">
        <v>145.6</v>
      </c>
      <c r="F821" s="8" t="n">
        <v>70</v>
      </c>
      <c r="G821" s="8" t="n">
        <v>4</v>
      </c>
      <c r="H821" s="5" t="n">
        <v>2011</v>
      </c>
      <c r="I821" s="5" t="n">
        <v>11</v>
      </c>
    </row>
    <row r="822">
      <c r="A822" s="5" t="inlineStr">
        <is>
          <t>2011-11</t>
        </is>
      </c>
      <c r="B822" s="5" t="inlineStr">
        <is>
          <t>Rest of Europe</t>
        </is>
      </c>
      <c r="C822" s="5" t="inlineStr">
        <is>
          <t>22423</t>
        </is>
      </c>
      <c r="D822" s="5" t="inlineStr">
        <is>
          <t>REGENCY CAKESTAND 3 TIER</t>
        </is>
      </c>
      <c r="E822" s="7" t="n">
        <v>2222.55</v>
      </c>
      <c r="F822" s="8" t="n">
        <v>189</v>
      </c>
      <c r="G822" s="8" t="n">
        <v>27</v>
      </c>
      <c r="H822" s="5" t="n">
        <v>2011</v>
      </c>
      <c r="I822" s="5" t="n">
        <v>11</v>
      </c>
    </row>
    <row r="823">
      <c r="A823" s="5" t="inlineStr">
        <is>
          <t>2011-11</t>
        </is>
      </c>
      <c r="B823" s="5" t="inlineStr">
        <is>
          <t>Rest of Europe</t>
        </is>
      </c>
      <c r="C823" s="5" t="inlineStr">
        <is>
          <t>23166</t>
        </is>
      </c>
      <c r="D823" s="5" t="inlineStr">
        <is>
          <t>MEDIUM CERAMIC TOP STORAGE JAR</t>
        </is>
      </c>
      <c r="E823" s="7" t="n">
        <v>49.92</v>
      </c>
      <c r="F823" s="8" t="n">
        <v>48</v>
      </c>
      <c r="G823" s="8" t="n">
        <v>1</v>
      </c>
      <c r="H823" s="5" t="n">
        <v>2011</v>
      </c>
      <c r="I823" s="5" t="n">
        <v>11</v>
      </c>
    </row>
    <row r="824">
      <c r="A824" s="5" t="inlineStr">
        <is>
          <t>2011-11</t>
        </is>
      </c>
      <c r="B824" s="5" t="inlineStr">
        <is>
          <t>Rest of Europe</t>
        </is>
      </c>
      <c r="C824" s="5" t="inlineStr">
        <is>
          <t>47566</t>
        </is>
      </c>
      <c r="D824" s="5" t="inlineStr">
        <is>
          <t>PARTY BUNTING</t>
        </is>
      </c>
      <c r="E824" s="7" t="n">
        <v>64.34999999999999</v>
      </c>
      <c r="F824" s="8" t="n">
        <v>13</v>
      </c>
      <c r="G824" s="8" t="n">
        <v>3</v>
      </c>
      <c r="H824" s="5" t="n">
        <v>2011</v>
      </c>
      <c r="I824" s="5" t="n">
        <v>11</v>
      </c>
    </row>
    <row r="825">
      <c r="A825" s="5" t="inlineStr">
        <is>
          <t>2011-11</t>
        </is>
      </c>
      <c r="B825" s="5" t="inlineStr">
        <is>
          <t>Rest of Europe</t>
        </is>
      </c>
      <c r="C825" s="5" t="inlineStr">
        <is>
          <t>79321</t>
        </is>
      </c>
      <c r="D825" s="5" t="inlineStr">
        <is>
          <t>CHILLI LIGHTS</t>
        </is>
      </c>
      <c r="E825" s="7" t="n">
        <v>23</v>
      </c>
      <c r="F825" s="8" t="n">
        <v>4</v>
      </c>
      <c r="G825" s="8" t="n">
        <v>1</v>
      </c>
      <c r="H825" s="5" t="n">
        <v>2011</v>
      </c>
      <c r="I825" s="5" t="n">
        <v>11</v>
      </c>
    </row>
    <row r="826">
      <c r="A826" s="5" t="inlineStr">
        <is>
          <t>2011-11</t>
        </is>
      </c>
      <c r="B826" s="5" t="inlineStr">
        <is>
          <t>Rest of Europe</t>
        </is>
      </c>
      <c r="C826" s="5" t="inlineStr">
        <is>
          <t>84347</t>
        </is>
      </c>
      <c r="D826" s="5" t="inlineStr">
        <is>
          <t>ROTATING SILVER ANGELS T-LIGHT HLDR</t>
        </is>
      </c>
      <c r="E826" s="7" t="n">
        <v>51</v>
      </c>
      <c r="F826" s="8" t="n">
        <v>20</v>
      </c>
      <c r="G826" s="8" t="n">
        <v>2</v>
      </c>
      <c r="H826" s="5" t="n">
        <v>2011</v>
      </c>
      <c r="I826" s="5" t="n">
        <v>11</v>
      </c>
    </row>
    <row r="827">
      <c r="A827" s="5" t="inlineStr">
        <is>
          <t>2011-11</t>
        </is>
      </c>
      <c r="B827" s="5" t="inlineStr">
        <is>
          <t>Rest of Europe</t>
        </is>
      </c>
      <c r="C827" s="5" t="inlineStr">
        <is>
          <t>84879</t>
        </is>
      </c>
      <c r="D827" s="5" t="inlineStr">
        <is>
          <t>ASSORTED COLOUR BIRD ORNAMENT</t>
        </is>
      </c>
      <c r="E827" s="7" t="n">
        <v>515.92</v>
      </c>
      <c r="F827" s="8" t="n">
        <v>328</v>
      </c>
      <c r="G827" s="8" t="n">
        <v>8</v>
      </c>
      <c r="H827" s="5" t="n">
        <v>2011</v>
      </c>
      <c r="I827" s="5" t="n">
        <v>11</v>
      </c>
    </row>
    <row r="828">
      <c r="A828" s="5" t="inlineStr">
        <is>
          <t>2011-11</t>
        </is>
      </c>
      <c r="B828" s="5" t="inlineStr">
        <is>
          <t>Rest of Europe</t>
        </is>
      </c>
      <c r="C828" s="5" t="inlineStr">
        <is>
          <t>85099B</t>
        </is>
      </c>
      <c r="D828" s="5" t="inlineStr">
        <is>
          <t>JUMBO BAG RED RETROSPOT</t>
        </is>
      </c>
      <c r="E828" s="7" t="n">
        <v>622.16</v>
      </c>
      <c r="F828" s="8" t="n">
        <v>327</v>
      </c>
      <c r="G828" s="8" t="n">
        <v>13</v>
      </c>
      <c r="H828" s="5" t="n">
        <v>2011</v>
      </c>
      <c r="I828" s="5" t="n">
        <v>11</v>
      </c>
    </row>
    <row r="829">
      <c r="A829" s="5" t="inlineStr">
        <is>
          <t>2011-11</t>
        </is>
      </c>
      <c r="B829" s="5" t="inlineStr">
        <is>
          <t>Rest of Europe</t>
        </is>
      </c>
      <c r="C829" s="5" t="inlineStr">
        <is>
          <t>85123A</t>
        </is>
      </c>
      <c r="D829" s="5" t="inlineStr">
        <is>
          <t>WHITE HANGING HEART T-LIGHT HOLDER</t>
        </is>
      </c>
      <c r="E829" s="7" t="n">
        <v>614.5</v>
      </c>
      <c r="F829" s="8" t="n">
        <v>230</v>
      </c>
      <c r="G829" s="8" t="n">
        <v>9</v>
      </c>
      <c r="H829" s="5" t="n">
        <v>2011</v>
      </c>
      <c r="I829" s="5" t="n">
        <v>11</v>
      </c>
    </row>
    <row r="830">
      <c r="A830" s="5" t="inlineStr">
        <is>
          <t>2011-11</t>
        </is>
      </c>
      <c r="B830" s="5" t="inlineStr">
        <is>
          <t>Rest of Europe</t>
        </is>
      </c>
      <c r="C830" s="5" t="inlineStr">
        <is>
          <t>ALL OTHER PRODUCTS</t>
        </is>
      </c>
      <c r="D830" s="5" t="inlineStr">
        <is>
          <t>All other products</t>
        </is>
      </c>
      <c r="E830" s="7" t="n">
        <v>119694.96</v>
      </c>
      <c r="F830" s="8" t="n">
        <v>71482</v>
      </c>
      <c r="G830" s="8" t="n">
        <v>217</v>
      </c>
      <c r="H830" s="5" t="n">
        <v>2011</v>
      </c>
      <c r="I830" s="5" t="n">
        <v>11</v>
      </c>
    </row>
    <row r="831">
      <c r="A831" s="5" t="inlineStr">
        <is>
          <t>2011-11</t>
        </is>
      </c>
      <c r="B831" s="5" t="inlineStr">
        <is>
          <t>Rest of World</t>
        </is>
      </c>
      <c r="C831" s="5" t="inlineStr">
        <is>
          <t>20725</t>
        </is>
      </c>
      <c r="D831" s="5" t="inlineStr">
        <is>
          <t>LUNCH BAG RED RETROSPOT</t>
        </is>
      </c>
      <c r="E831" s="7" t="n">
        <v>161.5</v>
      </c>
      <c r="F831" s="8" t="n">
        <v>110</v>
      </c>
      <c r="G831" s="8" t="n">
        <v>2</v>
      </c>
      <c r="H831" s="5" t="n">
        <v>2011</v>
      </c>
      <c r="I831" s="5" t="n">
        <v>11</v>
      </c>
    </row>
    <row r="832">
      <c r="A832" s="5" t="inlineStr">
        <is>
          <t>2011-11</t>
        </is>
      </c>
      <c r="B832" s="5" t="inlineStr">
        <is>
          <t>Rest of World</t>
        </is>
      </c>
      <c r="C832" s="5" t="inlineStr">
        <is>
          <t>22086</t>
        </is>
      </c>
      <c r="D832" s="5" t="inlineStr">
        <is>
          <t>PAPER CHAIN KIT 50'S CHRISTMAS</t>
        </is>
      </c>
      <c r="E832" s="7" t="n">
        <v>59</v>
      </c>
      <c r="F832" s="8" t="n">
        <v>20</v>
      </c>
      <c r="G832" s="8" t="n">
        <v>1</v>
      </c>
      <c r="H832" s="5" t="n">
        <v>2011</v>
      </c>
      <c r="I832" s="5" t="n">
        <v>11</v>
      </c>
    </row>
    <row r="833">
      <c r="A833" s="5" t="inlineStr">
        <is>
          <t>2011-11</t>
        </is>
      </c>
      <c r="B833" s="5" t="inlineStr">
        <is>
          <t>Rest of World</t>
        </is>
      </c>
      <c r="C833" s="5" t="inlineStr">
        <is>
          <t>ALL OTHER PRODUCTS</t>
        </is>
      </c>
      <c r="D833" s="5" t="inlineStr">
        <is>
          <t>All other products</t>
        </is>
      </c>
      <c r="E833" s="7" t="n">
        <v>16448.05</v>
      </c>
      <c r="F833" s="8" t="n">
        <v>8859</v>
      </c>
      <c r="G833" s="8" t="n">
        <v>10</v>
      </c>
      <c r="H833" s="5" t="n">
        <v>2011</v>
      </c>
      <c r="I833" s="5" t="n">
        <v>11</v>
      </c>
    </row>
    <row r="834">
      <c r="A834" s="5" t="inlineStr">
        <is>
          <t>2011-11</t>
        </is>
      </c>
      <c r="B834" s="5" t="inlineStr">
        <is>
          <t>United Kingdom</t>
        </is>
      </c>
      <c r="C834" s="5" t="inlineStr">
        <is>
          <t>20725</t>
        </is>
      </c>
      <c r="D834" s="5" t="inlineStr">
        <is>
          <t>LUNCH BAG RED RETROSPOT</t>
        </is>
      </c>
      <c r="E834" s="7" t="n">
        <v>3428.81</v>
      </c>
      <c r="F834" s="8" t="n">
        <v>1631</v>
      </c>
      <c r="G834" s="8" t="n">
        <v>140</v>
      </c>
      <c r="H834" s="5" t="n">
        <v>2011</v>
      </c>
      <c r="I834" s="5" t="n">
        <v>11</v>
      </c>
    </row>
    <row r="835">
      <c r="A835" s="5" t="inlineStr">
        <is>
          <t>2011-11</t>
        </is>
      </c>
      <c r="B835" s="5" t="inlineStr">
        <is>
          <t>United Kingdom</t>
        </is>
      </c>
      <c r="C835" s="5" t="inlineStr">
        <is>
          <t>22086</t>
        </is>
      </c>
      <c r="D835" s="5" t="inlineStr">
        <is>
          <t>PAPER CHAIN KIT 50'S CHRISTMAS</t>
        </is>
      </c>
      <c r="E835" s="7" t="n">
        <v>28225.99</v>
      </c>
      <c r="F835" s="8" t="n">
        <v>7629</v>
      </c>
      <c r="G835" s="8" t="n">
        <v>375</v>
      </c>
      <c r="H835" s="5" t="n">
        <v>2011</v>
      </c>
      <c r="I835" s="5" t="n">
        <v>11</v>
      </c>
    </row>
    <row r="836">
      <c r="A836" s="5" t="inlineStr">
        <is>
          <t>2011-11</t>
        </is>
      </c>
      <c r="B836" s="5" t="inlineStr">
        <is>
          <t>United Kingdom</t>
        </is>
      </c>
      <c r="C836" s="5" t="inlineStr">
        <is>
          <t>22197</t>
        </is>
      </c>
      <c r="D836" s="5" t="inlineStr">
        <is>
          <t>SMALL POPCORN HOLDER</t>
        </is>
      </c>
      <c r="E836" s="7" t="n">
        <v>13856.1</v>
      </c>
      <c r="F836" s="8" t="n">
        <v>12030</v>
      </c>
      <c r="G836" s="8" t="n">
        <v>230</v>
      </c>
      <c r="H836" s="5" t="n">
        <v>2011</v>
      </c>
      <c r="I836" s="5" t="n">
        <v>11</v>
      </c>
    </row>
    <row r="837">
      <c r="A837" s="5" t="inlineStr">
        <is>
          <t>2011-11</t>
        </is>
      </c>
      <c r="B837" s="5" t="inlineStr">
        <is>
          <t>United Kingdom</t>
        </is>
      </c>
      <c r="C837" s="5" t="inlineStr">
        <is>
          <t>22386</t>
        </is>
      </c>
      <c r="D837" s="5" t="inlineStr">
        <is>
          <t>JUMBO BAG PINK POLKADOT</t>
        </is>
      </c>
      <c r="E837" s="7" t="n">
        <v>3277.18</v>
      </c>
      <c r="F837" s="8" t="n">
        <v>1571</v>
      </c>
      <c r="G837" s="8" t="n">
        <v>115</v>
      </c>
      <c r="H837" s="5" t="n">
        <v>2011</v>
      </c>
      <c r="I837" s="5" t="n">
        <v>11</v>
      </c>
    </row>
    <row r="838">
      <c r="A838" s="5" t="inlineStr">
        <is>
          <t>2011-11</t>
        </is>
      </c>
      <c r="B838" s="5" t="inlineStr">
        <is>
          <t>United Kingdom</t>
        </is>
      </c>
      <c r="C838" s="5" t="inlineStr">
        <is>
          <t>22423</t>
        </is>
      </c>
      <c r="D838" s="5" t="inlineStr">
        <is>
          <t>REGENCY CAKESTAND 3 TIER</t>
        </is>
      </c>
      <c r="E838" s="7" t="n">
        <v>10955.58</v>
      </c>
      <c r="F838" s="8" t="n">
        <v>814</v>
      </c>
      <c r="G838" s="8" t="n">
        <v>166</v>
      </c>
      <c r="H838" s="5" t="n">
        <v>2011</v>
      </c>
      <c r="I838" s="5" t="n">
        <v>11</v>
      </c>
    </row>
    <row r="839">
      <c r="A839" s="5" t="inlineStr">
        <is>
          <t>2011-11</t>
        </is>
      </c>
      <c r="B839" s="5" t="inlineStr">
        <is>
          <t>United Kingdom</t>
        </is>
      </c>
      <c r="C839" s="5" t="inlineStr">
        <is>
          <t>23166</t>
        </is>
      </c>
      <c r="D839" s="5" t="inlineStr">
        <is>
          <t>MEDIUM CERAMIC TOP STORAGE JAR</t>
        </is>
      </c>
      <c r="E839" s="7" t="n">
        <v>709.65</v>
      </c>
      <c r="F839" s="8" t="n">
        <v>599</v>
      </c>
      <c r="G839" s="8" t="n">
        <v>38</v>
      </c>
      <c r="H839" s="5" t="n">
        <v>2011</v>
      </c>
      <c r="I839" s="5" t="n">
        <v>11</v>
      </c>
    </row>
    <row r="840">
      <c r="A840" s="5" t="inlineStr">
        <is>
          <t>2011-11</t>
        </is>
      </c>
      <c r="B840" s="5" t="inlineStr">
        <is>
          <t>United Kingdom</t>
        </is>
      </c>
      <c r="C840" s="5" t="inlineStr">
        <is>
          <t>47566</t>
        </is>
      </c>
      <c r="D840" s="5" t="inlineStr">
        <is>
          <t>PARTY BUNTING</t>
        </is>
      </c>
      <c r="E840" s="7" t="n">
        <v>4258.21</v>
      </c>
      <c r="F840" s="8" t="n">
        <v>803</v>
      </c>
      <c r="G840" s="8" t="n">
        <v>84</v>
      </c>
      <c r="H840" s="5" t="n">
        <v>2011</v>
      </c>
      <c r="I840" s="5" t="n">
        <v>11</v>
      </c>
    </row>
    <row r="841">
      <c r="A841" s="5" t="inlineStr">
        <is>
          <t>2011-11</t>
        </is>
      </c>
      <c r="B841" s="5" t="inlineStr">
        <is>
          <t>United Kingdom</t>
        </is>
      </c>
      <c r="C841" s="5" t="inlineStr">
        <is>
          <t>79321</t>
        </is>
      </c>
      <c r="D841" s="5" t="inlineStr">
        <is>
          <t>CHILLI LIGHTS</t>
        </is>
      </c>
      <c r="E841" s="7" t="n">
        <v>11439.77</v>
      </c>
      <c r="F841" s="8" t="n">
        <v>2084</v>
      </c>
      <c r="G841" s="8" t="n">
        <v>112</v>
      </c>
      <c r="H841" s="5" t="n">
        <v>2011</v>
      </c>
      <c r="I841" s="5" t="n">
        <v>11</v>
      </c>
    </row>
    <row r="842">
      <c r="A842" s="5" t="inlineStr">
        <is>
          <t>2011-11</t>
        </is>
      </c>
      <c r="B842" s="5" t="inlineStr">
        <is>
          <t>United Kingdom</t>
        </is>
      </c>
      <c r="C842" s="5" t="inlineStr">
        <is>
          <t>84347</t>
        </is>
      </c>
      <c r="D842" s="5" t="inlineStr">
        <is>
          <t>ROTATING SILVER ANGELS T-LIGHT HLDR</t>
        </is>
      </c>
      <c r="E842" s="7" t="n">
        <v>9424.440000000001</v>
      </c>
      <c r="F842" s="8" t="n">
        <v>2984</v>
      </c>
      <c r="G842" s="8" t="n">
        <v>132</v>
      </c>
      <c r="H842" s="5" t="n">
        <v>2011</v>
      </c>
      <c r="I842" s="5" t="n">
        <v>11</v>
      </c>
    </row>
    <row r="843">
      <c r="A843" s="5" t="inlineStr">
        <is>
          <t>2011-11</t>
        </is>
      </c>
      <c r="B843" s="5" t="inlineStr">
        <is>
          <t>United Kingdom</t>
        </is>
      </c>
      <c r="C843" s="5" t="inlineStr">
        <is>
          <t>84879</t>
        </is>
      </c>
      <c r="D843" s="5" t="inlineStr">
        <is>
          <t>ASSORTED COLOUR BIRD ORNAMENT</t>
        </is>
      </c>
      <c r="E843" s="7" t="n">
        <v>7811.79</v>
      </c>
      <c r="F843" s="8" t="n">
        <v>4859</v>
      </c>
      <c r="G843" s="8" t="n">
        <v>195</v>
      </c>
      <c r="H843" s="5" t="n">
        <v>2011</v>
      </c>
      <c r="I843" s="5" t="n">
        <v>11</v>
      </c>
    </row>
    <row r="844">
      <c r="A844" s="5" t="inlineStr">
        <is>
          <t>2011-11</t>
        </is>
      </c>
      <c r="B844" s="5" t="inlineStr">
        <is>
          <t>United Kingdom</t>
        </is>
      </c>
      <c r="C844" s="5" t="inlineStr">
        <is>
          <t>85099B</t>
        </is>
      </c>
      <c r="D844" s="5" t="inlineStr">
        <is>
          <t>JUMBO BAG RED RETROSPOT</t>
        </is>
      </c>
      <c r="E844" s="7" t="n">
        <v>10996.33</v>
      </c>
      <c r="F844" s="8" t="n">
        <v>5571</v>
      </c>
      <c r="G844" s="8" t="n">
        <v>233</v>
      </c>
      <c r="H844" s="5" t="n">
        <v>2011</v>
      </c>
      <c r="I844" s="5" t="n">
        <v>11</v>
      </c>
    </row>
    <row r="845">
      <c r="A845" s="5" t="inlineStr">
        <is>
          <t>2011-11</t>
        </is>
      </c>
      <c r="B845" s="5" t="inlineStr">
        <is>
          <t>United Kingdom</t>
        </is>
      </c>
      <c r="C845" s="5" t="inlineStr">
        <is>
          <t>85123A</t>
        </is>
      </c>
      <c r="D845" s="5" t="inlineStr">
        <is>
          <t>WHITE HANGING HEART T-LIGHT HOLDER</t>
        </is>
      </c>
      <c r="E845" s="7" t="n">
        <v>12395.5</v>
      </c>
      <c r="F845" s="8" t="n">
        <v>4246</v>
      </c>
      <c r="G845" s="8" t="n">
        <v>232</v>
      </c>
      <c r="H845" s="5" t="n">
        <v>2011</v>
      </c>
      <c r="I845" s="5" t="n">
        <v>11</v>
      </c>
    </row>
    <row r="846">
      <c r="A846" s="5" t="inlineStr">
        <is>
          <t>2011-11</t>
        </is>
      </c>
      <c r="B846" s="5" t="inlineStr">
        <is>
          <t>United Kingdom</t>
        </is>
      </c>
      <c r="C846" s="5" t="inlineStr">
        <is>
          <t>ALL OTHER PRODUCTS</t>
        </is>
      </c>
      <c r="D846" s="5" t="inlineStr">
        <is>
          <t>All other products</t>
        </is>
      </c>
      <c r="E846" s="7" t="n">
        <v>1163546.29</v>
      </c>
      <c r="F846" s="8" t="n">
        <v>602880</v>
      </c>
      <c r="G846" s="8" t="n">
        <v>2469</v>
      </c>
      <c r="H846" s="5" t="n">
        <v>2011</v>
      </c>
      <c r="I846" s="5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5" customWidth="1" min="3" max="3"/>
    <col width="3" customWidth="1" min="4" max="4"/>
    <col width="18" customWidth="1" min="5" max="5"/>
    <col width="3" customWidth="1" min="6" max="6"/>
    <col width="12" customWidth="1" min="7" max="7"/>
  </cols>
  <sheetData>
    <row r="1">
      <c r="A1" s="1" t="inlineStr">
        <is>
          <t>Lookup tables</t>
        </is>
      </c>
    </row>
    <row r="2">
      <c r="A2" s="9" t="inlineStr">
        <is>
          <t>VLOOKUP targets and the lists that drive the Dashboard dropdown.</t>
        </is>
      </c>
    </row>
    <row r="3">
      <c r="E3" s="2" t="inlineStr">
        <is>
          <t>Region</t>
        </is>
      </c>
      <c r="G3" s="2" t="inlineStr">
        <is>
          <t>Month</t>
        </is>
      </c>
    </row>
    <row r="4" ht="26" customHeight="1">
      <c r="A4" s="4" t="inlineStr">
        <is>
          <t>ProductCode</t>
        </is>
      </c>
      <c r="B4" s="4" t="inlineStr">
        <is>
          <t>ProductName</t>
        </is>
      </c>
      <c r="C4" s="4" t="inlineStr">
        <is>
          <t>TotalRevenue</t>
        </is>
      </c>
      <c r="E4" s="5" t="inlineStr">
        <is>
          <t>All regions</t>
        </is>
      </c>
      <c r="G4" s="5" t="inlineStr">
        <is>
          <t>2009-12</t>
        </is>
      </c>
    </row>
    <row r="5">
      <c r="A5" s="5" t="inlineStr">
        <is>
          <t>22423</t>
        </is>
      </c>
      <c r="B5" s="5" t="inlineStr">
        <is>
          <t>REGENCY CAKESTAND 3 TIER</t>
        </is>
      </c>
      <c r="C5" s="8">
        <f>SUMIFS(Data!$E$2:$E$846,Data!$C$2:$C$846,$A5)</f>
        <v/>
      </c>
      <c r="E5" s="5" t="inlineStr">
        <is>
          <t>United Kingdom</t>
        </is>
      </c>
      <c r="G5" s="5" t="inlineStr">
        <is>
          <t>2010-01</t>
        </is>
      </c>
    </row>
    <row r="6">
      <c r="A6" s="5" t="inlineStr">
        <is>
          <t>85123A</t>
        </is>
      </c>
      <c r="B6" s="5" t="inlineStr">
        <is>
          <t>WHITE HANGING HEART T-LIGHT HOLDER</t>
        </is>
      </c>
      <c r="C6" s="8">
        <f>SUMIFS(Data!$E$2:$E$846,Data!$C$2:$C$846,$A6)</f>
        <v/>
      </c>
      <c r="E6" s="5" t="inlineStr">
        <is>
          <t>Ireland (EIRE)</t>
        </is>
      </c>
      <c r="G6" s="5" t="inlineStr">
        <is>
          <t>2010-02</t>
        </is>
      </c>
    </row>
    <row r="7">
      <c r="A7" s="5" t="inlineStr">
        <is>
          <t>85099B</t>
        </is>
      </c>
      <c r="B7" s="5" t="inlineStr">
        <is>
          <t>JUMBO BAG RED RETROSPOT</t>
        </is>
      </c>
      <c r="C7" s="8">
        <f>SUMIFS(Data!$E$2:$E$846,Data!$C$2:$C$846,$A7)</f>
        <v/>
      </c>
      <c r="E7" s="5" t="inlineStr">
        <is>
          <t>Rest of Europe</t>
        </is>
      </c>
      <c r="G7" s="5" t="inlineStr">
        <is>
          <t>2010-03</t>
        </is>
      </c>
    </row>
    <row r="8">
      <c r="A8" s="5" t="inlineStr">
        <is>
          <t>47566</t>
        </is>
      </c>
      <c r="B8" s="5" t="inlineStr">
        <is>
          <t>PARTY BUNTING</t>
        </is>
      </c>
      <c r="C8" s="8">
        <f>SUMIFS(Data!$E$2:$E$846,Data!$C$2:$C$846,$A8)</f>
        <v/>
      </c>
      <c r="E8" s="5" t="inlineStr">
        <is>
          <t>Rest of World</t>
        </is>
      </c>
      <c r="G8" s="5" t="inlineStr">
        <is>
          <t>2010-04</t>
        </is>
      </c>
    </row>
    <row r="9">
      <c r="A9" s="5" t="inlineStr">
        <is>
          <t>84879</t>
        </is>
      </c>
      <c r="B9" s="5" t="inlineStr">
        <is>
          <t>ASSORTED COLOUR BIRD ORNAMENT</t>
        </is>
      </c>
      <c r="C9" s="8">
        <f>SUMIFS(Data!$E$2:$E$846,Data!$C$2:$C$846,$A9)</f>
        <v/>
      </c>
      <c r="G9" s="5" t="inlineStr">
        <is>
          <t>2010-05</t>
        </is>
      </c>
    </row>
    <row r="10">
      <c r="A10" s="5" t="inlineStr">
        <is>
          <t>22086</t>
        </is>
      </c>
      <c r="B10" s="5" t="inlineStr">
        <is>
          <t>PAPER CHAIN KIT 50'S CHRISTMAS</t>
        </is>
      </c>
      <c r="C10" s="8">
        <f>SUMIFS(Data!$E$2:$E$846,Data!$C$2:$C$846,$A10)</f>
        <v/>
      </c>
      <c r="G10" s="5" t="inlineStr">
        <is>
          <t>2010-06</t>
        </is>
      </c>
    </row>
    <row r="11">
      <c r="A11" s="5" t="inlineStr">
        <is>
          <t>23166</t>
        </is>
      </c>
      <c r="B11" s="5" t="inlineStr">
        <is>
          <t>MEDIUM CERAMIC TOP STORAGE JAR</t>
        </is>
      </c>
      <c r="C11" s="8">
        <f>SUMIFS(Data!$E$2:$E$846,Data!$C$2:$C$846,$A11)</f>
        <v/>
      </c>
      <c r="G11" s="5" t="inlineStr">
        <is>
          <t>2010-07</t>
        </is>
      </c>
    </row>
    <row r="12">
      <c r="A12" s="5" t="inlineStr">
        <is>
          <t>79321</t>
        </is>
      </c>
      <c r="B12" s="5" t="inlineStr">
        <is>
          <t>CHILLI LIGHTS</t>
        </is>
      </c>
      <c r="C12" s="8">
        <f>SUMIFS(Data!$E$2:$E$846,Data!$C$2:$C$846,$A12)</f>
        <v/>
      </c>
      <c r="G12" s="5" t="inlineStr">
        <is>
          <t>2010-08</t>
        </is>
      </c>
    </row>
    <row r="13">
      <c r="A13" s="5" t="inlineStr">
        <is>
          <t>22386</t>
        </is>
      </c>
      <c r="B13" s="5" t="inlineStr">
        <is>
          <t>JUMBO BAG PINK POLKADOT</t>
        </is>
      </c>
      <c r="C13" s="8">
        <f>SUMIFS(Data!$E$2:$E$846,Data!$C$2:$C$846,$A13)</f>
        <v/>
      </c>
      <c r="G13" s="5" t="inlineStr">
        <is>
          <t>2010-09</t>
        </is>
      </c>
    </row>
    <row r="14">
      <c r="A14" s="5" t="inlineStr">
        <is>
          <t>22197</t>
        </is>
      </c>
      <c r="B14" s="5" t="inlineStr">
        <is>
          <t>SMALL POPCORN HOLDER</t>
        </is>
      </c>
      <c r="C14" s="8">
        <f>SUMIFS(Data!$E$2:$E$846,Data!$C$2:$C$846,$A14)</f>
        <v/>
      </c>
      <c r="G14" s="5" t="inlineStr">
        <is>
          <t>2010-10</t>
        </is>
      </c>
    </row>
    <row r="15">
      <c r="A15" s="5" t="inlineStr">
        <is>
          <t>20725</t>
        </is>
      </c>
      <c r="B15" s="5" t="inlineStr">
        <is>
          <t>LUNCH BAG RED RETROSPOT</t>
        </is>
      </c>
      <c r="C15" s="8">
        <f>SUMIFS(Data!$E$2:$E$846,Data!$C$2:$C$846,$A15)</f>
        <v/>
      </c>
      <c r="G15" s="5" t="inlineStr">
        <is>
          <t>2010-11</t>
        </is>
      </c>
    </row>
    <row r="16">
      <c r="A16" s="5" t="inlineStr">
        <is>
          <t>84347</t>
        </is>
      </c>
      <c r="B16" s="5" t="inlineStr">
        <is>
          <t>ROTATING SILVER ANGELS T-LIGHT HLDR</t>
        </is>
      </c>
      <c r="C16" s="8">
        <f>SUMIFS(Data!$E$2:$E$846,Data!$C$2:$C$846,$A16)</f>
        <v/>
      </c>
      <c r="G16" s="5" t="inlineStr">
        <is>
          <t>2010-12</t>
        </is>
      </c>
    </row>
    <row r="17">
      <c r="A17" s="5" t="inlineStr">
        <is>
          <t>ALL OTHER PRODUCTS</t>
        </is>
      </c>
      <c r="B17" s="5" t="inlineStr">
        <is>
          <t>All other products</t>
        </is>
      </c>
      <c r="C17" s="8">
        <f>SUMIFS(Data!$E$2:$E$846,Data!$C$2:$C$846,$A17)</f>
        <v/>
      </c>
      <c r="G17" s="5" t="inlineStr">
        <is>
          <t>2011-01</t>
        </is>
      </c>
    </row>
    <row r="18">
      <c r="G18" s="5" t="inlineStr">
        <is>
          <t>2011-02</t>
        </is>
      </c>
    </row>
    <row r="19">
      <c r="G19" s="5" t="inlineStr">
        <is>
          <t>2011-03</t>
        </is>
      </c>
    </row>
    <row r="20">
      <c r="G20" s="5" t="inlineStr">
        <is>
          <t>2011-04</t>
        </is>
      </c>
    </row>
    <row r="21">
      <c r="G21" s="5" t="inlineStr">
        <is>
          <t>2011-05</t>
        </is>
      </c>
    </row>
    <row r="22">
      <c r="G22" s="5" t="inlineStr">
        <is>
          <t>2011-06</t>
        </is>
      </c>
    </row>
    <row r="23">
      <c r="G23" s="5" t="inlineStr">
        <is>
          <t>2011-07</t>
        </is>
      </c>
    </row>
    <row r="24">
      <c r="G24" s="5" t="inlineStr">
        <is>
          <t>2011-08</t>
        </is>
      </c>
    </row>
    <row r="25">
      <c r="G25" s="5" t="inlineStr">
        <is>
          <t>2011-09</t>
        </is>
      </c>
    </row>
    <row r="26">
      <c r="G26" s="5" t="inlineStr">
        <is>
          <t>2011-10</t>
        </is>
      </c>
    </row>
    <row r="27">
      <c r="G27" s="5" t="inlineStr">
        <is>
          <t>2011-11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Online Retail II - sales dashboard</t>
        </is>
      </c>
    </row>
    <row r="2">
      <c r="A2" s="9" t="inlineStr">
        <is>
          <t>Every figure below is a live formula over the Data sheet. Change the region filter and the whole KPI row recalculates.</t>
        </is>
      </c>
    </row>
    <row r="4">
      <c r="A4" s="2" t="inlineStr">
        <is>
          <t>Region filter</t>
        </is>
      </c>
      <c r="B4" s="10" t="inlineStr">
        <is>
          <t>All regions</t>
        </is>
      </c>
      <c r="D4" s="11" t="inlineStr">
        <is>
          <t>Total revenue (GBP)</t>
        </is>
      </c>
      <c r="F4" s="11" t="inlineStr">
        <is>
          <t>Units sold</t>
        </is>
      </c>
      <c r="H4" s="11" t="inlineStr">
        <is>
          <t>Order lines</t>
        </is>
      </c>
      <c r="J4" s="11" t="inlineStr">
        <is>
          <t>Peak month revenue</t>
        </is>
      </c>
      <c r="L4" s="11" t="inlineStr">
        <is>
          <t>Average month revenue</t>
        </is>
      </c>
      <c r="N4" s="11" t="inlineStr">
        <is>
          <t>Peak / trough ratio</t>
        </is>
      </c>
    </row>
    <row r="5">
      <c r="D5" s="12">
        <f>IF($B$4="All regions",SUM(Data!$E$2:$E$846),SUMIFS(Data!$E$2:$E$846,Data!$B$2:$B$846,$B$4))</f>
        <v/>
      </c>
      <c r="F5" s="12">
        <f>IF($B$4="All regions",SUM(Data!$F$2:$F$846),SUMIFS(Data!$F$2:$F$846,Data!$B$2:$B$846,$B$4))</f>
        <v/>
      </c>
      <c r="H5" s="12">
        <f>IF($B$4="All regions",SUM(Data!$G$2:$G$846),SUMIFS(Data!$G$2:$G$846,Data!$B$2:$B$846,$B$4))</f>
        <v/>
      </c>
      <c r="J5" s="12">
        <f>MAX(B10:B33)</f>
        <v/>
      </c>
      <c r="L5" s="12">
        <f>AVERAGE(B10:B33)</f>
        <v/>
      </c>
      <c r="N5" s="13">
        <f>MAX(B10:B33)/MIN(B10:B33)</f>
        <v/>
      </c>
    </row>
    <row r="8">
      <c r="A8" s="2" t="inlineStr">
        <is>
          <t>Revenue by month and region</t>
        </is>
      </c>
    </row>
    <row r="9" ht="26" customHeight="1">
      <c r="A9" s="4" t="inlineStr">
        <is>
          <t>Month</t>
        </is>
      </c>
      <c r="B9" s="4" t="inlineStr">
        <is>
          <t>Total (filtered)</t>
        </is>
      </c>
      <c r="C9" s="4" t="inlineStr">
        <is>
          <t>United Kingdom</t>
        </is>
      </c>
      <c r="D9" s="4" t="inlineStr">
        <is>
          <t>Ireland (EIRE)</t>
        </is>
      </c>
      <c r="E9" s="4" t="inlineStr">
        <is>
          <t>Rest of Europe</t>
        </is>
      </c>
      <c r="F9" s="4" t="inlineStr">
        <is>
          <t>Rest of World</t>
        </is>
      </c>
      <c r="G9" s="4" t="inlineStr">
        <is>
          <t>MoM growth</t>
        </is>
      </c>
    </row>
    <row r="10">
      <c r="A10" s="5" t="inlineStr">
        <is>
          <t>2009-12</t>
        </is>
      </c>
      <c r="B10" s="14">
        <f>IF($B$4="All regions",SUMIFS(Data!$E$2:$E$846,Data!$A$2:$A$846,$A10),SUMIFS(Data!$E$2:$E$846,Data!$A$2:$A$846,$A10,Data!$B$2:$B$846,$B$4))</f>
        <v/>
      </c>
      <c r="C10" s="8">
        <f>SUMIFS(Data!$E$2:$E$846,Data!$A$2:$A$846,$A10,Data!$B$2:$B$846,"United Kingdom")</f>
        <v/>
      </c>
      <c r="D10" s="8">
        <f>SUMIFS(Data!$E$2:$E$846,Data!$A$2:$A$846,$A10,Data!$B$2:$B$846,"Ireland (EIRE)")</f>
        <v/>
      </c>
      <c r="E10" s="8">
        <f>SUMIFS(Data!$E$2:$E$846,Data!$A$2:$A$846,$A10,Data!$B$2:$B$846,"Rest of Europe")</f>
        <v/>
      </c>
      <c r="F10" s="8">
        <f>SUMIFS(Data!$E$2:$E$846,Data!$A$2:$A$846,$A10,Data!$B$2:$B$846,"Rest of World")</f>
        <v/>
      </c>
      <c r="G10" s="15" t="inlineStr"/>
    </row>
    <row r="11">
      <c r="A11" s="5" t="inlineStr">
        <is>
          <t>2010-01</t>
        </is>
      </c>
      <c r="B11" s="14">
        <f>IF($B$4="All regions",SUMIFS(Data!$E$2:$E$846,Data!$A$2:$A$846,$A11),SUMIFS(Data!$E$2:$E$846,Data!$A$2:$A$846,$A11,Data!$B$2:$B$846,$B$4))</f>
        <v/>
      </c>
      <c r="C11" s="8">
        <f>SUMIFS(Data!$E$2:$E$846,Data!$A$2:$A$846,$A11,Data!$B$2:$B$846,"United Kingdom")</f>
        <v/>
      </c>
      <c r="D11" s="8">
        <f>SUMIFS(Data!$E$2:$E$846,Data!$A$2:$A$846,$A11,Data!$B$2:$B$846,"Ireland (EIRE)")</f>
        <v/>
      </c>
      <c r="E11" s="8">
        <f>SUMIFS(Data!$E$2:$E$846,Data!$A$2:$A$846,$A11,Data!$B$2:$B$846,"Rest of Europe")</f>
        <v/>
      </c>
      <c r="F11" s="8">
        <f>SUMIFS(Data!$E$2:$E$846,Data!$A$2:$A$846,$A11,Data!$B$2:$B$846,"Rest of World")</f>
        <v/>
      </c>
      <c r="G11" s="15">
        <f>IFERROR(B11/B10-1,"")</f>
        <v/>
      </c>
    </row>
    <row r="12">
      <c r="A12" s="5" t="inlineStr">
        <is>
          <t>2010-02</t>
        </is>
      </c>
      <c r="B12" s="14">
        <f>IF($B$4="All regions",SUMIFS(Data!$E$2:$E$846,Data!$A$2:$A$846,$A12),SUMIFS(Data!$E$2:$E$846,Data!$A$2:$A$846,$A12,Data!$B$2:$B$846,$B$4))</f>
        <v/>
      </c>
      <c r="C12" s="8">
        <f>SUMIFS(Data!$E$2:$E$846,Data!$A$2:$A$846,$A12,Data!$B$2:$B$846,"United Kingdom")</f>
        <v/>
      </c>
      <c r="D12" s="8">
        <f>SUMIFS(Data!$E$2:$E$846,Data!$A$2:$A$846,$A12,Data!$B$2:$B$846,"Ireland (EIRE)")</f>
        <v/>
      </c>
      <c r="E12" s="8">
        <f>SUMIFS(Data!$E$2:$E$846,Data!$A$2:$A$846,$A12,Data!$B$2:$B$846,"Rest of Europe")</f>
        <v/>
      </c>
      <c r="F12" s="8">
        <f>SUMIFS(Data!$E$2:$E$846,Data!$A$2:$A$846,$A12,Data!$B$2:$B$846,"Rest of World")</f>
        <v/>
      </c>
      <c r="G12" s="15">
        <f>IFERROR(B12/B11-1,"")</f>
        <v/>
      </c>
    </row>
    <row r="13">
      <c r="A13" s="5" t="inlineStr">
        <is>
          <t>2010-03</t>
        </is>
      </c>
      <c r="B13" s="14">
        <f>IF($B$4="All regions",SUMIFS(Data!$E$2:$E$846,Data!$A$2:$A$846,$A13),SUMIFS(Data!$E$2:$E$846,Data!$A$2:$A$846,$A13,Data!$B$2:$B$846,$B$4))</f>
        <v/>
      </c>
      <c r="C13" s="8">
        <f>SUMIFS(Data!$E$2:$E$846,Data!$A$2:$A$846,$A13,Data!$B$2:$B$846,"United Kingdom")</f>
        <v/>
      </c>
      <c r="D13" s="8">
        <f>SUMIFS(Data!$E$2:$E$846,Data!$A$2:$A$846,$A13,Data!$B$2:$B$846,"Ireland (EIRE)")</f>
        <v/>
      </c>
      <c r="E13" s="8">
        <f>SUMIFS(Data!$E$2:$E$846,Data!$A$2:$A$846,$A13,Data!$B$2:$B$846,"Rest of Europe")</f>
        <v/>
      </c>
      <c r="F13" s="8">
        <f>SUMIFS(Data!$E$2:$E$846,Data!$A$2:$A$846,$A13,Data!$B$2:$B$846,"Rest of World")</f>
        <v/>
      </c>
      <c r="G13" s="15">
        <f>IFERROR(B13/B12-1,"")</f>
        <v/>
      </c>
    </row>
    <row r="14">
      <c r="A14" s="5" t="inlineStr">
        <is>
          <t>2010-04</t>
        </is>
      </c>
      <c r="B14" s="14">
        <f>IF($B$4="All regions",SUMIFS(Data!$E$2:$E$846,Data!$A$2:$A$846,$A14),SUMIFS(Data!$E$2:$E$846,Data!$A$2:$A$846,$A14,Data!$B$2:$B$846,$B$4))</f>
        <v/>
      </c>
      <c r="C14" s="8">
        <f>SUMIFS(Data!$E$2:$E$846,Data!$A$2:$A$846,$A14,Data!$B$2:$B$846,"United Kingdom")</f>
        <v/>
      </c>
      <c r="D14" s="8">
        <f>SUMIFS(Data!$E$2:$E$846,Data!$A$2:$A$846,$A14,Data!$B$2:$B$846,"Ireland (EIRE)")</f>
        <v/>
      </c>
      <c r="E14" s="8">
        <f>SUMIFS(Data!$E$2:$E$846,Data!$A$2:$A$846,$A14,Data!$B$2:$B$846,"Rest of Europe")</f>
        <v/>
      </c>
      <c r="F14" s="8">
        <f>SUMIFS(Data!$E$2:$E$846,Data!$A$2:$A$846,$A14,Data!$B$2:$B$846,"Rest of World")</f>
        <v/>
      </c>
      <c r="G14" s="15">
        <f>IFERROR(B14/B13-1,"")</f>
        <v/>
      </c>
    </row>
    <row r="15">
      <c r="A15" s="5" t="inlineStr">
        <is>
          <t>2010-05</t>
        </is>
      </c>
      <c r="B15" s="14">
        <f>IF($B$4="All regions",SUMIFS(Data!$E$2:$E$846,Data!$A$2:$A$846,$A15),SUMIFS(Data!$E$2:$E$846,Data!$A$2:$A$846,$A15,Data!$B$2:$B$846,$B$4))</f>
        <v/>
      </c>
      <c r="C15" s="8">
        <f>SUMIFS(Data!$E$2:$E$846,Data!$A$2:$A$846,$A15,Data!$B$2:$B$846,"United Kingdom")</f>
        <v/>
      </c>
      <c r="D15" s="8">
        <f>SUMIFS(Data!$E$2:$E$846,Data!$A$2:$A$846,$A15,Data!$B$2:$B$846,"Ireland (EIRE)")</f>
        <v/>
      </c>
      <c r="E15" s="8">
        <f>SUMIFS(Data!$E$2:$E$846,Data!$A$2:$A$846,$A15,Data!$B$2:$B$846,"Rest of Europe")</f>
        <v/>
      </c>
      <c r="F15" s="8">
        <f>SUMIFS(Data!$E$2:$E$846,Data!$A$2:$A$846,$A15,Data!$B$2:$B$846,"Rest of World")</f>
        <v/>
      </c>
      <c r="G15" s="15">
        <f>IFERROR(B15/B14-1,"")</f>
        <v/>
      </c>
    </row>
    <row r="16">
      <c r="A16" s="5" t="inlineStr">
        <is>
          <t>2010-06</t>
        </is>
      </c>
      <c r="B16" s="14">
        <f>IF($B$4="All regions",SUMIFS(Data!$E$2:$E$846,Data!$A$2:$A$846,$A16),SUMIFS(Data!$E$2:$E$846,Data!$A$2:$A$846,$A16,Data!$B$2:$B$846,$B$4))</f>
        <v/>
      </c>
      <c r="C16" s="8">
        <f>SUMIFS(Data!$E$2:$E$846,Data!$A$2:$A$846,$A16,Data!$B$2:$B$846,"United Kingdom")</f>
        <v/>
      </c>
      <c r="D16" s="8">
        <f>SUMIFS(Data!$E$2:$E$846,Data!$A$2:$A$846,$A16,Data!$B$2:$B$846,"Ireland (EIRE)")</f>
        <v/>
      </c>
      <c r="E16" s="8">
        <f>SUMIFS(Data!$E$2:$E$846,Data!$A$2:$A$846,$A16,Data!$B$2:$B$846,"Rest of Europe")</f>
        <v/>
      </c>
      <c r="F16" s="8">
        <f>SUMIFS(Data!$E$2:$E$846,Data!$A$2:$A$846,$A16,Data!$B$2:$B$846,"Rest of World")</f>
        <v/>
      </c>
      <c r="G16" s="15">
        <f>IFERROR(B16/B15-1,"")</f>
        <v/>
      </c>
    </row>
    <row r="17">
      <c r="A17" s="5" t="inlineStr">
        <is>
          <t>2010-07</t>
        </is>
      </c>
      <c r="B17" s="14">
        <f>IF($B$4="All regions",SUMIFS(Data!$E$2:$E$846,Data!$A$2:$A$846,$A17),SUMIFS(Data!$E$2:$E$846,Data!$A$2:$A$846,$A17,Data!$B$2:$B$846,$B$4))</f>
        <v/>
      </c>
      <c r="C17" s="8">
        <f>SUMIFS(Data!$E$2:$E$846,Data!$A$2:$A$846,$A17,Data!$B$2:$B$846,"United Kingdom")</f>
        <v/>
      </c>
      <c r="D17" s="8">
        <f>SUMIFS(Data!$E$2:$E$846,Data!$A$2:$A$846,$A17,Data!$B$2:$B$846,"Ireland (EIRE)")</f>
        <v/>
      </c>
      <c r="E17" s="8">
        <f>SUMIFS(Data!$E$2:$E$846,Data!$A$2:$A$846,$A17,Data!$B$2:$B$846,"Rest of Europe")</f>
        <v/>
      </c>
      <c r="F17" s="8">
        <f>SUMIFS(Data!$E$2:$E$846,Data!$A$2:$A$846,$A17,Data!$B$2:$B$846,"Rest of World")</f>
        <v/>
      </c>
      <c r="G17" s="15">
        <f>IFERROR(B17/B16-1,"")</f>
        <v/>
      </c>
    </row>
    <row r="18">
      <c r="A18" s="5" t="inlineStr">
        <is>
          <t>2010-08</t>
        </is>
      </c>
      <c r="B18" s="14">
        <f>IF($B$4="All regions",SUMIFS(Data!$E$2:$E$846,Data!$A$2:$A$846,$A18),SUMIFS(Data!$E$2:$E$846,Data!$A$2:$A$846,$A18,Data!$B$2:$B$846,$B$4))</f>
        <v/>
      </c>
      <c r="C18" s="8">
        <f>SUMIFS(Data!$E$2:$E$846,Data!$A$2:$A$846,$A18,Data!$B$2:$B$846,"United Kingdom")</f>
        <v/>
      </c>
      <c r="D18" s="8">
        <f>SUMIFS(Data!$E$2:$E$846,Data!$A$2:$A$846,$A18,Data!$B$2:$B$846,"Ireland (EIRE)")</f>
        <v/>
      </c>
      <c r="E18" s="8">
        <f>SUMIFS(Data!$E$2:$E$846,Data!$A$2:$A$846,$A18,Data!$B$2:$B$846,"Rest of Europe")</f>
        <v/>
      </c>
      <c r="F18" s="8">
        <f>SUMIFS(Data!$E$2:$E$846,Data!$A$2:$A$846,$A18,Data!$B$2:$B$846,"Rest of World")</f>
        <v/>
      </c>
      <c r="G18" s="15">
        <f>IFERROR(B18/B17-1,"")</f>
        <v/>
      </c>
    </row>
    <row r="19">
      <c r="A19" s="5" t="inlineStr">
        <is>
          <t>2010-09</t>
        </is>
      </c>
      <c r="B19" s="14">
        <f>IF($B$4="All regions",SUMIFS(Data!$E$2:$E$846,Data!$A$2:$A$846,$A19),SUMIFS(Data!$E$2:$E$846,Data!$A$2:$A$846,$A19,Data!$B$2:$B$846,$B$4))</f>
        <v/>
      </c>
      <c r="C19" s="8">
        <f>SUMIFS(Data!$E$2:$E$846,Data!$A$2:$A$846,$A19,Data!$B$2:$B$846,"United Kingdom")</f>
        <v/>
      </c>
      <c r="D19" s="8">
        <f>SUMIFS(Data!$E$2:$E$846,Data!$A$2:$A$846,$A19,Data!$B$2:$B$846,"Ireland (EIRE)")</f>
        <v/>
      </c>
      <c r="E19" s="8">
        <f>SUMIFS(Data!$E$2:$E$846,Data!$A$2:$A$846,$A19,Data!$B$2:$B$846,"Rest of Europe")</f>
        <v/>
      </c>
      <c r="F19" s="8">
        <f>SUMIFS(Data!$E$2:$E$846,Data!$A$2:$A$846,$A19,Data!$B$2:$B$846,"Rest of World")</f>
        <v/>
      </c>
      <c r="G19" s="15">
        <f>IFERROR(B19/B18-1,"")</f>
        <v/>
      </c>
    </row>
    <row r="20">
      <c r="A20" s="5" t="inlineStr">
        <is>
          <t>2010-10</t>
        </is>
      </c>
      <c r="B20" s="14">
        <f>IF($B$4="All regions",SUMIFS(Data!$E$2:$E$846,Data!$A$2:$A$846,$A20),SUMIFS(Data!$E$2:$E$846,Data!$A$2:$A$846,$A20,Data!$B$2:$B$846,$B$4))</f>
        <v/>
      </c>
      <c r="C20" s="8">
        <f>SUMIFS(Data!$E$2:$E$846,Data!$A$2:$A$846,$A20,Data!$B$2:$B$846,"United Kingdom")</f>
        <v/>
      </c>
      <c r="D20" s="8">
        <f>SUMIFS(Data!$E$2:$E$846,Data!$A$2:$A$846,$A20,Data!$B$2:$B$846,"Ireland (EIRE)")</f>
        <v/>
      </c>
      <c r="E20" s="8">
        <f>SUMIFS(Data!$E$2:$E$846,Data!$A$2:$A$846,$A20,Data!$B$2:$B$846,"Rest of Europe")</f>
        <v/>
      </c>
      <c r="F20" s="8">
        <f>SUMIFS(Data!$E$2:$E$846,Data!$A$2:$A$846,$A20,Data!$B$2:$B$846,"Rest of World")</f>
        <v/>
      </c>
      <c r="G20" s="15">
        <f>IFERROR(B20/B19-1,"")</f>
        <v/>
      </c>
    </row>
    <row r="21">
      <c r="A21" s="5" t="inlineStr">
        <is>
          <t>2010-11</t>
        </is>
      </c>
      <c r="B21" s="14">
        <f>IF($B$4="All regions",SUMIFS(Data!$E$2:$E$846,Data!$A$2:$A$846,$A21),SUMIFS(Data!$E$2:$E$846,Data!$A$2:$A$846,$A21,Data!$B$2:$B$846,$B$4))</f>
        <v/>
      </c>
      <c r="C21" s="8">
        <f>SUMIFS(Data!$E$2:$E$846,Data!$A$2:$A$846,$A21,Data!$B$2:$B$846,"United Kingdom")</f>
        <v/>
      </c>
      <c r="D21" s="8">
        <f>SUMIFS(Data!$E$2:$E$846,Data!$A$2:$A$846,$A21,Data!$B$2:$B$846,"Ireland (EIRE)")</f>
        <v/>
      </c>
      <c r="E21" s="8">
        <f>SUMIFS(Data!$E$2:$E$846,Data!$A$2:$A$846,$A21,Data!$B$2:$B$846,"Rest of Europe")</f>
        <v/>
      </c>
      <c r="F21" s="8">
        <f>SUMIFS(Data!$E$2:$E$846,Data!$A$2:$A$846,$A21,Data!$B$2:$B$846,"Rest of World")</f>
        <v/>
      </c>
      <c r="G21" s="15">
        <f>IFERROR(B21/B20-1,"")</f>
        <v/>
      </c>
    </row>
    <row r="22">
      <c r="A22" s="5" t="inlineStr">
        <is>
          <t>2010-12</t>
        </is>
      </c>
      <c r="B22" s="14">
        <f>IF($B$4="All regions",SUMIFS(Data!$E$2:$E$846,Data!$A$2:$A$846,$A22),SUMIFS(Data!$E$2:$E$846,Data!$A$2:$A$846,$A22,Data!$B$2:$B$846,$B$4))</f>
        <v/>
      </c>
      <c r="C22" s="8">
        <f>SUMIFS(Data!$E$2:$E$846,Data!$A$2:$A$846,$A22,Data!$B$2:$B$846,"United Kingdom")</f>
        <v/>
      </c>
      <c r="D22" s="8">
        <f>SUMIFS(Data!$E$2:$E$846,Data!$A$2:$A$846,$A22,Data!$B$2:$B$846,"Ireland (EIRE)")</f>
        <v/>
      </c>
      <c r="E22" s="8">
        <f>SUMIFS(Data!$E$2:$E$846,Data!$A$2:$A$846,$A22,Data!$B$2:$B$846,"Rest of Europe")</f>
        <v/>
      </c>
      <c r="F22" s="8">
        <f>SUMIFS(Data!$E$2:$E$846,Data!$A$2:$A$846,$A22,Data!$B$2:$B$846,"Rest of World")</f>
        <v/>
      </c>
      <c r="G22" s="15">
        <f>IFERROR(B22/B21-1,"")</f>
        <v/>
      </c>
    </row>
    <row r="23">
      <c r="A23" s="5" t="inlineStr">
        <is>
          <t>2011-01</t>
        </is>
      </c>
      <c r="B23" s="14">
        <f>IF($B$4="All regions",SUMIFS(Data!$E$2:$E$846,Data!$A$2:$A$846,$A23),SUMIFS(Data!$E$2:$E$846,Data!$A$2:$A$846,$A23,Data!$B$2:$B$846,$B$4))</f>
        <v/>
      </c>
      <c r="C23" s="8">
        <f>SUMIFS(Data!$E$2:$E$846,Data!$A$2:$A$846,$A23,Data!$B$2:$B$846,"United Kingdom")</f>
        <v/>
      </c>
      <c r="D23" s="8">
        <f>SUMIFS(Data!$E$2:$E$846,Data!$A$2:$A$846,$A23,Data!$B$2:$B$846,"Ireland (EIRE)")</f>
        <v/>
      </c>
      <c r="E23" s="8">
        <f>SUMIFS(Data!$E$2:$E$846,Data!$A$2:$A$846,$A23,Data!$B$2:$B$846,"Rest of Europe")</f>
        <v/>
      </c>
      <c r="F23" s="8">
        <f>SUMIFS(Data!$E$2:$E$846,Data!$A$2:$A$846,$A23,Data!$B$2:$B$846,"Rest of World")</f>
        <v/>
      </c>
      <c r="G23" s="15">
        <f>IFERROR(B23/B22-1,"")</f>
        <v/>
      </c>
    </row>
    <row r="24">
      <c r="A24" s="5" t="inlineStr">
        <is>
          <t>2011-02</t>
        </is>
      </c>
      <c r="B24" s="14">
        <f>IF($B$4="All regions",SUMIFS(Data!$E$2:$E$846,Data!$A$2:$A$846,$A24),SUMIFS(Data!$E$2:$E$846,Data!$A$2:$A$846,$A24,Data!$B$2:$B$846,$B$4))</f>
        <v/>
      </c>
      <c r="C24" s="8">
        <f>SUMIFS(Data!$E$2:$E$846,Data!$A$2:$A$846,$A24,Data!$B$2:$B$846,"United Kingdom")</f>
        <v/>
      </c>
      <c r="D24" s="8">
        <f>SUMIFS(Data!$E$2:$E$846,Data!$A$2:$A$846,$A24,Data!$B$2:$B$846,"Ireland (EIRE)")</f>
        <v/>
      </c>
      <c r="E24" s="8">
        <f>SUMIFS(Data!$E$2:$E$846,Data!$A$2:$A$846,$A24,Data!$B$2:$B$846,"Rest of Europe")</f>
        <v/>
      </c>
      <c r="F24" s="8">
        <f>SUMIFS(Data!$E$2:$E$846,Data!$A$2:$A$846,$A24,Data!$B$2:$B$846,"Rest of World")</f>
        <v/>
      </c>
      <c r="G24" s="15">
        <f>IFERROR(B24/B23-1,"")</f>
        <v/>
      </c>
    </row>
    <row r="25">
      <c r="A25" s="5" t="inlineStr">
        <is>
          <t>2011-03</t>
        </is>
      </c>
      <c r="B25" s="14">
        <f>IF($B$4="All regions",SUMIFS(Data!$E$2:$E$846,Data!$A$2:$A$846,$A25),SUMIFS(Data!$E$2:$E$846,Data!$A$2:$A$846,$A25,Data!$B$2:$B$846,$B$4))</f>
        <v/>
      </c>
      <c r="C25" s="8">
        <f>SUMIFS(Data!$E$2:$E$846,Data!$A$2:$A$846,$A25,Data!$B$2:$B$846,"United Kingdom")</f>
        <v/>
      </c>
      <c r="D25" s="8">
        <f>SUMIFS(Data!$E$2:$E$846,Data!$A$2:$A$846,$A25,Data!$B$2:$B$846,"Ireland (EIRE)")</f>
        <v/>
      </c>
      <c r="E25" s="8">
        <f>SUMIFS(Data!$E$2:$E$846,Data!$A$2:$A$846,$A25,Data!$B$2:$B$846,"Rest of Europe")</f>
        <v/>
      </c>
      <c r="F25" s="8">
        <f>SUMIFS(Data!$E$2:$E$846,Data!$A$2:$A$846,$A25,Data!$B$2:$B$846,"Rest of World")</f>
        <v/>
      </c>
      <c r="G25" s="15">
        <f>IFERROR(B25/B24-1,"")</f>
        <v/>
      </c>
    </row>
    <row r="26">
      <c r="A26" s="5" t="inlineStr">
        <is>
          <t>2011-04</t>
        </is>
      </c>
      <c r="B26" s="14">
        <f>IF($B$4="All regions",SUMIFS(Data!$E$2:$E$846,Data!$A$2:$A$846,$A26),SUMIFS(Data!$E$2:$E$846,Data!$A$2:$A$846,$A26,Data!$B$2:$B$846,$B$4))</f>
        <v/>
      </c>
      <c r="C26" s="8">
        <f>SUMIFS(Data!$E$2:$E$846,Data!$A$2:$A$846,$A26,Data!$B$2:$B$846,"United Kingdom")</f>
        <v/>
      </c>
      <c r="D26" s="8">
        <f>SUMIFS(Data!$E$2:$E$846,Data!$A$2:$A$846,$A26,Data!$B$2:$B$846,"Ireland (EIRE)")</f>
        <v/>
      </c>
      <c r="E26" s="8">
        <f>SUMIFS(Data!$E$2:$E$846,Data!$A$2:$A$846,$A26,Data!$B$2:$B$846,"Rest of Europe")</f>
        <v/>
      </c>
      <c r="F26" s="8">
        <f>SUMIFS(Data!$E$2:$E$846,Data!$A$2:$A$846,$A26,Data!$B$2:$B$846,"Rest of World")</f>
        <v/>
      </c>
      <c r="G26" s="15">
        <f>IFERROR(B26/B25-1,"")</f>
        <v/>
      </c>
    </row>
    <row r="27">
      <c r="A27" s="5" t="inlineStr">
        <is>
          <t>2011-05</t>
        </is>
      </c>
      <c r="B27" s="14">
        <f>IF($B$4="All regions",SUMIFS(Data!$E$2:$E$846,Data!$A$2:$A$846,$A27),SUMIFS(Data!$E$2:$E$846,Data!$A$2:$A$846,$A27,Data!$B$2:$B$846,$B$4))</f>
        <v/>
      </c>
      <c r="C27" s="8">
        <f>SUMIFS(Data!$E$2:$E$846,Data!$A$2:$A$846,$A27,Data!$B$2:$B$846,"United Kingdom")</f>
        <v/>
      </c>
      <c r="D27" s="8">
        <f>SUMIFS(Data!$E$2:$E$846,Data!$A$2:$A$846,$A27,Data!$B$2:$B$846,"Ireland (EIRE)")</f>
        <v/>
      </c>
      <c r="E27" s="8">
        <f>SUMIFS(Data!$E$2:$E$846,Data!$A$2:$A$846,$A27,Data!$B$2:$B$846,"Rest of Europe")</f>
        <v/>
      </c>
      <c r="F27" s="8">
        <f>SUMIFS(Data!$E$2:$E$846,Data!$A$2:$A$846,$A27,Data!$B$2:$B$846,"Rest of World")</f>
        <v/>
      </c>
      <c r="G27" s="15">
        <f>IFERROR(B27/B26-1,"")</f>
        <v/>
      </c>
    </row>
    <row r="28">
      <c r="A28" s="5" t="inlineStr">
        <is>
          <t>2011-06</t>
        </is>
      </c>
      <c r="B28" s="14">
        <f>IF($B$4="All regions",SUMIFS(Data!$E$2:$E$846,Data!$A$2:$A$846,$A28),SUMIFS(Data!$E$2:$E$846,Data!$A$2:$A$846,$A28,Data!$B$2:$B$846,$B$4))</f>
        <v/>
      </c>
      <c r="C28" s="8">
        <f>SUMIFS(Data!$E$2:$E$846,Data!$A$2:$A$846,$A28,Data!$B$2:$B$846,"United Kingdom")</f>
        <v/>
      </c>
      <c r="D28" s="8">
        <f>SUMIFS(Data!$E$2:$E$846,Data!$A$2:$A$846,$A28,Data!$B$2:$B$846,"Ireland (EIRE)")</f>
        <v/>
      </c>
      <c r="E28" s="8">
        <f>SUMIFS(Data!$E$2:$E$846,Data!$A$2:$A$846,$A28,Data!$B$2:$B$846,"Rest of Europe")</f>
        <v/>
      </c>
      <c r="F28" s="8">
        <f>SUMIFS(Data!$E$2:$E$846,Data!$A$2:$A$846,$A28,Data!$B$2:$B$846,"Rest of World")</f>
        <v/>
      </c>
      <c r="G28" s="15">
        <f>IFERROR(B28/B27-1,"")</f>
        <v/>
      </c>
    </row>
    <row r="29">
      <c r="A29" s="5" t="inlineStr">
        <is>
          <t>2011-07</t>
        </is>
      </c>
      <c r="B29" s="14">
        <f>IF($B$4="All regions",SUMIFS(Data!$E$2:$E$846,Data!$A$2:$A$846,$A29),SUMIFS(Data!$E$2:$E$846,Data!$A$2:$A$846,$A29,Data!$B$2:$B$846,$B$4))</f>
        <v/>
      </c>
      <c r="C29" s="8">
        <f>SUMIFS(Data!$E$2:$E$846,Data!$A$2:$A$846,$A29,Data!$B$2:$B$846,"United Kingdom")</f>
        <v/>
      </c>
      <c r="D29" s="8">
        <f>SUMIFS(Data!$E$2:$E$846,Data!$A$2:$A$846,$A29,Data!$B$2:$B$846,"Ireland (EIRE)")</f>
        <v/>
      </c>
      <c r="E29" s="8">
        <f>SUMIFS(Data!$E$2:$E$846,Data!$A$2:$A$846,$A29,Data!$B$2:$B$846,"Rest of Europe")</f>
        <v/>
      </c>
      <c r="F29" s="8">
        <f>SUMIFS(Data!$E$2:$E$846,Data!$A$2:$A$846,$A29,Data!$B$2:$B$846,"Rest of World")</f>
        <v/>
      </c>
      <c r="G29" s="15">
        <f>IFERROR(B29/B28-1,"")</f>
        <v/>
      </c>
    </row>
    <row r="30">
      <c r="A30" s="5" t="inlineStr">
        <is>
          <t>2011-08</t>
        </is>
      </c>
      <c r="B30" s="14">
        <f>IF($B$4="All regions",SUMIFS(Data!$E$2:$E$846,Data!$A$2:$A$846,$A30),SUMIFS(Data!$E$2:$E$846,Data!$A$2:$A$846,$A30,Data!$B$2:$B$846,$B$4))</f>
        <v/>
      </c>
      <c r="C30" s="8">
        <f>SUMIFS(Data!$E$2:$E$846,Data!$A$2:$A$846,$A30,Data!$B$2:$B$846,"United Kingdom")</f>
        <v/>
      </c>
      <c r="D30" s="8">
        <f>SUMIFS(Data!$E$2:$E$846,Data!$A$2:$A$846,$A30,Data!$B$2:$B$846,"Ireland (EIRE)")</f>
        <v/>
      </c>
      <c r="E30" s="8">
        <f>SUMIFS(Data!$E$2:$E$846,Data!$A$2:$A$846,$A30,Data!$B$2:$B$846,"Rest of Europe")</f>
        <v/>
      </c>
      <c r="F30" s="8">
        <f>SUMIFS(Data!$E$2:$E$846,Data!$A$2:$A$846,$A30,Data!$B$2:$B$846,"Rest of World")</f>
        <v/>
      </c>
      <c r="G30" s="15">
        <f>IFERROR(B30/B29-1,"")</f>
        <v/>
      </c>
    </row>
    <row r="31">
      <c r="A31" s="5" t="inlineStr">
        <is>
          <t>2011-09</t>
        </is>
      </c>
      <c r="B31" s="14">
        <f>IF($B$4="All regions",SUMIFS(Data!$E$2:$E$846,Data!$A$2:$A$846,$A31),SUMIFS(Data!$E$2:$E$846,Data!$A$2:$A$846,$A31,Data!$B$2:$B$846,$B$4))</f>
        <v/>
      </c>
      <c r="C31" s="8">
        <f>SUMIFS(Data!$E$2:$E$846,Data!$A$2:$A$846,$A31,Data!$B$2:$B$846,"United Kingdom")</f>
        <v/>
      </c>
      <c r="D31" s="8">
        <f>SUMIFS(Data!$E$2:$E$846,Data!$A$2:$A$846,$A31,Data!$B$2:$B$846,"Ireland (EIRE)")</f>
        <v/>
      </c>
      <c r="E31" s="8">
        <f>SUMIFS(Data!$E$2:$E$846,Data!$A$2:$A$846,$A31,Data!$B$2:$B$846,"Rest of Europe")</f>
        <v/>
      </c>
      <c r="F31" s="8">
        <f>SUMIFS(Data!$E$2:$E$846,Data!$A$2:$A$846,$A31,Data!$B$2:$B$846,"Rest of World")</f>
        <v/>
      </c>
      <c r="G31" s="15">
        <f>IFERROR(B31/B30-1,"")</f>
        <v/>
      </c>
    </row>
    <row r="32">
      <c r="A32" s="5" t="inlineStr">
        <is>
          <t>2011-10</t>
        </is>
      </c>
      <c r="B32" s="14">
        <f>IF($B$4="All regions",SUMIFS(Data!$E$2:$E$846,Data!$A$2:$A$846,$A32),SUMIFS(Data!$E$2:$E$846,Data!$A$2:$A$846,$A32,Data!$B$2:$B$846,$B$4))</f>
        <v/>
      </c>
      <c r="C32" s="8">
        <f>SUMIFS(Data!$E$2:$E$846,Data!$A$2:$A$846,$A32,Data!$B$2:$B$846,"United Kingdom")</f>
        <v/>
      </c>
      <c r="D32" s="8">
        <f>SUMIFS(Data!$E$2:$E$846,Data!$A$2:$A$846,$A32,Data!$B$2:$B$846,"Ireland (EIRE)")</f>
        <v/>
      </c>
      <c r="E32" s="8">
        <f>SUMIFS(Data!$E$2:$E$846,Data!$A$2:$A$846,$A32,Data!$B$2:$B$846,"Rest of Europe")</f>
        <v/>
      </c>
      <c r="F32" s="8">
        <f>SUMIFS(Data!$E$2:$E$846,Data!$A$2:$A$846,$A32,Data!$B$2:$B$846,"Rest of World")</f>
        <v/>
      </c>
      <c r="G32" s="15">
        <f>IFERROR(B32/B31-1,"")</f>
        <v/>
      </c>
    </row>
    <row r="33">
      <c r="A33" s="5" t="inlineStr">
        <is>
          <t>2011-11</t>
        </is>
      </c>
      <c r="B33" s="14">
        <f>IF($B$4="All regions",SUMIFS(Data!$E$2:$E$846,Data!$A$2:$A$846,$A33),SUMIFS(Data!$E$2:$E$846,Data!$A$2:$A$846,$A33,Data!$B$2:$B$846,$B$4))</f>
        <v/>
      </c>
      <c r="C33" s="8">
        <f>SUMIFS(Data!$E$2:$E$846,Data!$A$2:$A$846,$A33,Data!$B$2:$B$846,"United Kingdom")</f>
        <v/>
      </c>
      <c r="D33" s="8">
        <f>SUMIFS(Data!$E$2:$E$846,Data!$A$2:$A$846,$A33,Data!$B$2:$B$846,"Ireland (EIRE)")</f>
        <v/>
      </c>
      <c r="E33" s="8">
        <f>SUMIFS(Data!$E$2:$E$846,Data!$A$2:$A$846,$A33,Data!$B$2:$B$846,"Rest of Europe")</f>
        <v/>
      </c>
      <c r="F33" s="8">
        <f>SUMIFS(Data!$E$2:$E$846,Data!$A$2:$A$846,$A33,Data!$B$2:$B$846,"Rest of World")</f>
        <v/>
      </c>
      <c r="G33" s="15">
        <f>IFERROR(B33/B32-1,"")</f>
        <v/>
      </c>
    </row>
    <row r="35">
      <c r="A35" s="2" t="inlineStr">
        <is>
          <t>Top 12 products by revenue (of 4,893 distinct stock codes)</t>
        </is>
      </c>
    </row>
    <row r="36" ht="26" customHeight="1">
      <c r="A36" s="4" t="inlineStr">
        <is>
          <t>ProductCode</t>
        </is>
      </c>
      <c r="B36" s="4" t="inlineStr">
        <is>
          <t>Product name (VLOOKUP)</t>
        </is>
      </c>
      <c r="C36" s="4" t="inlineStr">
        <is>
          <t>Revenue</t>
        </is>
      </c>
      <c r="D36" s="4" t="inlineStr">
        <is>
          <t>Units</t>
        </is>
      </c>
      <c r="E36" s="4" t="inlineStr">
        <is>
          <t>Share of total</t>
        </is>
      </c>
      <c r="F36" s="4" t="inlineStr">
        <is>
          <t>Revenue per unit</t>
        </is>
      </c>
    </row>
    <row r="37">
      <c r="A37" s="5" t="inlineStr">
        <is>
          <t>22423</t>
        </is>
      </c>
      <c r="B37" s="5">
        <f>VLOOKUP($A37,Lookups!$A:$B,2,FALSE)</f>
        <v/>
      </c>
      <c r="C37" s="8">
        <f>SUMIFS(Data!$E$2:$E$846,Data!$C$2:$C$846,$A37)</f>
        <v/>
      </c>
      <c r="D37" s="8">
        <f>SUMIFS(Data!$F$2:$F$846,Data!$C$2:$C$846,$A37)</f>
        <v/>
      </c>
      <c r="E37" s="15">
        <f>C37/SUM(Data!$E$2:$E$846)</f>
        <v/>
      </c>
      <c r="F37" s="7">
        <f>IFERROR(C37/D37,"")</f>
        <v/>
      </c>
    </row>
    <row r="38">
      <c r="A38" s="5" t="inlineStr">
        <is>
          <t>85123A</t>
        </is>
      </c>
      <c r="B38" s="5">
        <f>VLOOKUP($A38,Lookups!$A:$B,2,FALSE)</f>
        <v/>
      </c>
      <c r="C38" s="8">
        <f>SUMIFS(Data!$E$2:$E$846,Data!$C$2:$C$846,$A38)</f>
        <v/>
      </c>
      <c r="D38" s="8">
        <f>SUMIFS(Data!$F$2:$F$846,Data!$C$2:$C$846,$A38)</f>
        <v/>
      </c>
      <c r="E38" s="15">
        <f>C38/SUM(Data!$E$2:$E$846)</f>
        <v/>
      </c>
      <c r="F38" s="7">
        <f>IFERROR(C38/D38,"")</f>
        <v/>
      </c>
    </row>
    <row r="39">
      <c r="A39" s="5" t="inlineStr">
        <is>
          <t>85099B</t>
        </is>
      </c>
      <c r="B39" s="5">
        <f>VLOOKUP($A39,Lookups!$A:$B,2,FALSE)</f>
        <v/>
      </c>
      <c r="C39" s="8">
        <f>SUMIFS(Data!$E$2:$E$846,Data!$C$2:$C$846,$A39)</f>
        <v/>
      </c>
      <c r="D39" s="8">
        <f>SUMIFS(Data!$F$2:$F$846,Data!$C$2:$C$846,$A39)</f>
        <v/>
      </c>
      <c r="E39" s="15">
        <f>C39/SUM(Data!$E$2:$E$846)</f>
        <v/>
      </c>
      <c r="F39" s="7">
        <f>IFERROR(C39/D39,"")</f>
        <v/>
      </c>
    </row>
    <row r="40">
      <c r="A40" s="5" t="inlineStr">
        <is>
          <t>47566</t>
        </is>
      </c>
      <c r="B40" s="5">
        <f>VLOOKUP($A40,Lookups!$A:$B,2,FALSE)</f>
        <v/>
      </c>
      <c r="C40" s="8">
        <f>SUMIFS(Data!$E$2:$E$846,Data!$C$2:$C$846,$A40)</f>
        <v/>
      </c>
      <c r="D40" s="8">
        <f>SUMIFS(Data!$F$2:$F$846,Data!$C$2:$C$846,$A40)</f>
        <v/>
      </c>
      <c r="E40" s="15">
        <f>C40/SUM(Data!$E$2:$E$846)</f>
        <v/>
      </c>
      <c r="F40" s="7">
        <f>IFERROR(C40/D40,"")</f>
        <v/>
      </c>
    </row>
    <row r="41">
      <c r="A41" s="5" t="inlineStr">
        <is>
          <t>84879</t>
        </is>
      </c>
      <c r="B41" s="5">
        <f>VLOOKUP($A41,Lookups!$A:$B,2,FALSE)</f>
        <v/>
      </c>
      <c r="C41" s="8">
        <f>SUMIFS(Data!$E$2:$E$846,Data!$C$2:$C$846,$A41)</f>
        <v/>
      </c>
      <c r="D41" s="8">
        <f>SUMIFS(Data!$F$2:$F$846,Data!$C$2:$C$846,$A41)</f>
        <v/>
      </c>
      <c r="E41" s="15">
        <f>C41/SUM(Data!$E$2:$E$846)</f>
        <v/>
      </c>
      <c r="F41" s="7">
        <f>IFERROR(C41/D41,"")</f>
        <v/>
      </c>
    </row>
    <row r="42">
      <c r="A42" s="5" t="inlineStr">
        <is>
          <t>22086</t>
        </is>
      </c>
      <c r="B42" s="5">
        <f>VLOOKUP($A42,Lookups!$A:$B,2,FALSE)</f>
        <v/>
      </c>
      <c r="C42" s="8">
        <f>SUMIFS(Data!$E$2:$E$846,Data!$C$2:$C$846,$A42)</f>
        <v/>
      </c>
      <c r="D42" s="8">
        <f>SUMIFS(Data!$F$2:$F$846,Data!$C$2:$C$846,$A42)</f>
        <v/>
      </c>
      <c r="E42" s="15">
        <f>C42/SUM(Data!$E$2:$E$846)</f>
        <v/>
      </c>
      <c r="F42" s="7">
        <f>IFERROR(C42/D42,"")</f>
        <v/>
      </c>
    </row>
    <row r="43">
      <c r="A43" s="5" t="inlineStr">
        <is>
          <t>23166</t>
        </is>
      </c>
      <c r="B43" s="5">
        <f>VLOOKUP($A43,Lookups!$A:$B,2,FALSE)</f>
        <v/>
      </c>
      <c r="C43" s="8">
        <f>SUMIFS(Data!$E$2:$E$846,Data!$C$2:$C$846,$A43)</f>
        <v/>
      </c>
      <c r="D43" s="8">
        <f>SUMIFS(Data!$F$2:$F$846,Data!$C$2:$C$846,$A43)</f>
        <v/>
      </c>
      <c r="E43" s="15">
        <f>C43/SUM(Data!$E$2:$E$846)</f>
        <v/>
      </c>
      <c r="F43" s="7">
        <f>IFERROR(C43/D43,"")</f>
        <v/>
      </c>
    </row>
    <row r="44">
      <c r="A44" s="5" t="inlineStr">
        <is>
          <t>79321</t>
        </is>
      </c>
      <c r="B44" s="5">
        <f>VLOOKUP($A44,Lookups!$A:$B,2,FALSE)</f>
        <v/>
      </c>
      <c r="C44" s="8">
        <f>SUMIFS(Data!$E$2:$E$846,Data!$C$2:$C$846,$A44)</f>
        <v/>
      </c>
      <c r="D44" s="8">
        <f>SUMIFS(Data!$F$2:$F$846,Data!$C$2:$C$846,$A44)</f>
        <v/>
      </c>
      <c r="E44" s="15">
        <f>C44/SUM(Data!$E$2:$E$846)</f>
        <v/>
      </c>
      <c r="F44" s="7">
        <f>IFERROR(C44/D44,"")</f>
        <v/>
      </c>
    </row>
    <row r="45">
      <c r="A45" s="5" t="inlineStr">
        <is>
          <t>22386</t>
        </is>
      </c>
      <c r="B45" s="5">
        <f>VLOOKUP($A45,Lookups!$A:$B,2,FALSE)</f>
        <v/>
      </c>
      <c r="C45" s="8">
        <f>SUMIFS(Data!$E$2:$E$846,Data!$C$2:$C$846,$A45)</f>
        <v/>
      </c>
      <c r="D45" s="8">
        <f>SUMIFS(Data!$F$2:$F$846,Data!$C$2:$C$846,$A45)</f>
        <v/>
      </c>
      <c r="E45" s="15">
        <f>C45/SUM(Data!$E$2:$E$846)</f>
        <v/>
      </c>
      <c r="F45" s="7">
        <f>IFERROR(C45/D45,"")</f>
        <v/>
      </c>
    </row>
    <row r="46">
      <c r="A46" s="5" t="inlineStr">
        <is>
          <t>22197</t>
        </is>
      </c>
      <c r="B46" s="5">
        <f>VLOOKUP($A46,Lookups!$A:$B,2,FALSE)</f>
        <v/>
      </c>
      <c r="C46" s="8">
        <f>SUMIFS(Data!$E$2:$E$846,Data!$C$2:$C$846,$A46)</f>
        <v/>
      </c>
      <c r="D46" s="8">
        <f>SUMIFS(Data!$F$2:$F$846,Data!$C$2:$C$846,$A46)</f>
        <v/>
      </c>
      <c r="E46" s="15">
        <f>C46/SUM(Data!$E$2:$E$846)</f>
        <v/>
      </c>
      <c r="F46" s="7">
        <f>IFERROR(C46/D46,"")</f>
        <v/>
      </c>
    </row>
    <row r="47">
      <c r="A47" s="5" t="inlineStr">
        <is>
          <t>20725</t>
        </is>
      </c>
      <c r="B47" s="5">
        <f>VLOOKUP($A47,Lookups!$A:$B,2,FALSE)</f>
        <v/>
      </c>
      <c r="C47" s="8">
        <f>SUMIFS(Data!$E$2:$E$846,Data!$C$2:$C$846,$A47)</f>
        <v/>
      </c>
      <c r="D47" s="8">
        <f>SUMIFS(Data!$F$2:$F$846,Data!$C$2:$C$846,$A47)</f>
        <v/>
      </c>
      <c r="E47" s="15">
        <f>C47/SUM(Data!$E$2:$E$846)</f>
        <v/>
      </c>
      <c r="F47" s="7">
        <f>IFERROR(C47/D47,"")</f>
        <v/>
      </c>
    </row>
    <row r="48">
      <c r="A48" s="5" t="inlineStr">
        <is>
          <t>84347</t>
        </is>
      </c>
      <c r="B48" s="5">
        <f>VLOOKUP($A48,Lookups!$A:$B,2,FALSE)</f>
        <v/>
      </c>
      <c r="C48" s="8">
        <f>SUMIFS(Data!$E$2:$E$846,Data!$C$2:$C$846,$A48)</f>
        <v/>
      </c>
      <c r="D48" s="8">
        <f>SUMIFS(Data!$F$2:$F$846,Data!$C$2:$C$846,$A48)</f>
        <v/>
      </c>
      <c r="E48" s="15">
        <f>C48/SUM(Data!$E$2:$E$846)</f>
        <v/>
      </c>
      <c r="F48" s="7">
        <f>IFERROR(C48/D48,"")</f>
        <v/>
      </c>
    </row>
  </sheetData>
  <mergeCells count="12">
    <mergeCell ref="F4:G4"/>
    <mergeCell ref="J4:K4"/>
    <mergeCell ref="L4:M4"/>
    <mergeCell ref="J5:K5"/>
    <mergeCell ref="F5:G5"/>
    <mergeCell ref="D5:E5"/>
    <mergeCell ref="H5:I5"/>
    <mergeCell ref="D4:E4"/>
    <mergeCell ref="L5:M5"/>
    <mergeCell ref="H4:I4"/>
    <mergeCell ref="N5:O5"/>
    <mergeCell ref="N4:O4"/>
  </mergeCells>
  <conditionalFormatting sqref="C10:F33">
    <cfRule type="colorScale" priority="1">
      <colorScale>
        <cfvo type="min"/>
        <cfvo type="percentile" val="50"/>
        <cfvo type="max"/>
        <color rgb="FFFFFFFF"/>
        <color rgb="FFAEB2EE"/>
        <color rgb="FF1F2CD1"/>
      </colorScale>
    </cfRule>
  </conditionalFormatting>
  <conditionalFormatting sqref="B10:B33">
    <cfRule type="dataBar" priority="2">
      <dataBar showValue="1">
        <cfvo type="min"/>
        <cfvo type="max"/>
        <color rgb="001F2CD1"/>
      </dataBar>
    </cfRule>
  </conditionalFormatting>
  <conditionalFormatting sqref="G10:G33">
    <cfRule type="colorScale" priority="3">
      <colorScale>
        <cfvo type="min"/>
        <cfvo type="num" val="0"/>
        <cfvo type="max"/>
        <color rgb="FFF2B8B8"/>
        <color rgb="FFFFFFFF"/>
        <color rgb="FFB8E0C2"/>
      </colorScale>
    </cfRule>
  </conditionalFormatting>
  <conditionalFormatting sqref="C37:C48">
    <cfRule type="dataBar" priority="4">
      <dataBar showValue="1">
        <cfvo type="num" val="0"/>
        <cfvo type="max"/>
        <color rgb="001F2CD1"/>
      </dataBar>
    </cfRule>
  </conditionalFormatting>
  <dataValidations count="1">
    <dataValidation sqref="B4" showDropDown="0" showInputMessage="0" showErrorMessage="0" allowBlank="0" type="list">
      <formula1>Lookups!$E$4:$E$8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4" max="4"/>
    <col width="15" customWidth="1" min="16" max="16"/>
    <col width="15" customWidth="1" min="17" max="17"/>
    <col width="15" customWidth="1" min="18" max="18"/>
    <col width="15" customWidth="1" min="19" max="19"/>
    <col width="34" customWidth="1" min="35" max="35"/>
    <col width="18" customWidth="1" min="36" max="36"/>
  </cols>
  <sheetData>
    <row r="1">
      <c r="A1" s="1" t="inlineStr">
        <is>
          <t>Forecast - trend + month-of-year regression</t>
        </is>
      </c>
    </row>
    <row r="2">
      <c r="A2" s="9" t="inlineStr">
        <is>
          <t>LINEST fits the model on the first 21 months only. The last 3 months are held out; the workbook never sees them during fitting.</t>
        </is>
      </c>
    </row>
    <row r="4">
      <c r="AI4" s="2" t="inlineStr">
        <is>
          <t>Coefficients (Excel LINEST, training rows 6-26). LINEST returns coefficients in reverse column order with the intercept last; these cells unpick that. The forecast column uses TREND and does not depend on this block.</t>
        </is>
      </c>
    </row>
    <row r="5" ht="26" customHeight="1">
      <c r="A5" s="4" t="inlineStr">
        <is>
          <t>Month</t>
        </is>
      </c>
      <c r="B5" s="4" t="inlineStr">
        <is>
          <t>t</t>
        </is>
      </c>
      <c r="C5" s="4" t="inlineStr">
        <is>
          <t>Actual</t>
        </is>
      </c>
      <c r="D5" s="4" t="inlineStr">
        <is>
          <t>Set</t>
        </is>
      </c>
      <c r="E5" s="4" t="inlineStr">
        <is>
          <t>m02</t>
        </is>
      </c>
      <c r="F5" s="4" t="inlineStr">
        <is>
          <t>m03</t>
        </is>
      </c>
      <c r="G5" s="4" t="inlineStr">
        <is>
          <t>m04</t>
        </is>
      </c>
      <c r="H5" s="4" t="inlineStr">
        <is>
          <t>m05</t>
        </is>
      </c>
      <c r="I5" s="4" t="inlineStr">
        <is>
          <t>m06</t>
        </is>
      </c>
      <c r="J5" s="4" t="inlineStr">
        <is>
          <t>m07</t>
        </is>
      </c>
      <c r="K5" s="4" t="inlineStr">
        <is>
          <t>m08</t>
        </is>
      </c>
      <c r="L5" s="4" t="inlineStr">
        <is>
          <t>m09</t>
        </is>
      </c>
      <c r="M5" s="4" t="inlineStr">
        <is>
          <t>m10</t>
        </is>
      </c>
      <c r="N5" s="4" t="inlineStr">
        <is>
          <t>m11</t>
        </is>
      </c>
      <c r="O5" s="4" t="inlineStr">
        <is>
          <t>m12</t>
        </is>
      </c>
      <c r="P5" s="4" t="inlineStr">
        <is>
          <t>Regression</t>
        </is>
      </c>
      <c r="Q5" s="4" t="inlineStr">
        <is>
          <t>Seasonal naive</t>
        </is>
      </c>
      <c r="R5" s="4" t="inlineStr">
        <is>
          <t>APE reg</t>
        </is>
      </c>
      <c r="S5" s="4" t="inlineStr">
        <is>
          <t>APE snaive</t>
        </is>
      </c>
      <c r="U5" s="16" t="inlineStr">
        <is>
          <t>t (design)</t>
        </is>
      </c>
      <c r="V5" s="16" t="inlineStr">
        <is>
          <t>x02</t>
        </is>
      </c>
      <c r="W5" s="16" t="inlineStr">
        <is>
          <t>x03</t>
        </is>
      </c>
      <c r="X5" s="16" t="inlineStr">
        <is>
          <t>x04</t>
        </is>
      </c>
      <c r="Y5" s="16" t="inlineStr">
        <is>
          <t>x05</t>
        </is>
      </c>
      <c r="Z5" s="16" t="inlineStr">
        <is>
          <t>x06</t>
        </is>
      </c>
      <c r="AA5" s="16" t="inlineStr">
        <is>
          <t>x07</t>
        </is>
      </c>
      <c r="AB5" s="16" t="inlineStr">
        <is>
          <t>x08</t>
        </is>
      </c>
      <c r="AC5" s="16" t="inlineStr">
        <is>
          <t>x09</t>
        </is>
      </c>
      <c r="AD5" s="16" t="inlineStr">
        <is>
          <t>x10</t>
        </is>
      </c>
      <c r="AE5" s="16" t="inlineStr">
        <is>
          <t>x11</t>
        </is>
      </c>
      <c r="AF5" s="16" t="inlineStr">
        <is>
          <t>x12</t>
        </is>
      </c>
    </row>
    <row r="6">
      <c r="A6" s="5" t="inlineStr">
        <is>
          <t>2009-12</t>
        </is>
      </c>
      <c r="B6" s="5" t="n">
        <v>0</v>
      </c>
      <c r="C6" s="8" t="n">
        <v>797901.16</v>
      </c>
      <c r="D6" s="5" t="inlineStr">
        <is>
          <t>train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1</v>
      </c>
      <c r="P6" s="17">
        <f>TREND($C$6:$C$26,$U$6:$AF$26,$U6:$AF6)</f>
        <v/>
      </c>
      <c r="Q6" s="8" t="inlineStr"/>
      <c r="R6" s="15">
        <f>ABS((C6-P6)/C6)</f>
        <v/>
      </c>
      <c r="S6" s="15">
        <f>IF(Q6="","",ABS((C6-Q6)/C6))</f>
        <v/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I6" s="5" t="inlineStr">
        <is>
          <t>Intercept</t>
        </is>
      </c>
      <c r="AJ6" s="7">
        <f>INDEX(LINEST($C$6:$C$26,$U$6:$AF$26,TRUE,FALSE),1,13)</f>
        <v/>
      </c>
    </row>
    <row r="7">
      <c r="A7" s="5" t="inlineStr">
        <is>
          <t>2010-01</t>
        </is>
      </c>
      <c r="B7" s="5" t="n">
        <v>1</v>
      </c>
      <c r="C7" s="8" t="n">
        <v>612297.42</v>
      </c>
      <c r="D7" s="5" t="inlineStr">
        <is>
          <t>train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17">
        <f>TREND($C$6:$C$26,$U$6:$AF$26,$U7:$AF7)</f>
        <v/>
      </c>
      <c r="Q7" s="8" t="inlineStr"/>
      <c r="R7" s="15">
        <f>ABS((C7-P7)/C7)</f>
        <v/>
      </c>
      <c r="S7" s="15">
        <f>IF(Q7="","",ABS((C7-Q7)/C7))</f>
        <v/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I7" s="5" t="inlineStr">
        <is>
          <t>Trend (per month)</t>
        </is>
      </c>
      <c r="AJ7" s="7">
        <f>INDEX(LINEST($C$6:$C$26,$U$6:$AF$26,TRUE,FALSE),1,12)</f>
        <v/>
      </c>
    </row>
    <row r="8">
      <c r="A8" s="5" t="inlineStr">
        <is>
          <t>2010-02</t>
        </is>
      </c>
      <c r="B8" s="5" t="n">
        <v>2</v>
      </c>
      <c r="C8" s="8" t="n">
        <v>537909.67</v>
      </c>
      <c r="D8" s="5" t="inlineStr">
        <is>
          <t>train</t>
        </is>
      </c>
      <c r="E8" s="5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17">
        <f>TREND($C$6:$C$26,$U$6:$AF$26,$U8:$AF8)</f>
        <v/>
      </c>
      <c r="Q8" s="8" t="inlineStr"/>
      <c r="R8" s="15">
        <f>ABS((C8-P8)/C8)</f>
        <v/>
      </c>
      <c r="S8" s="15">
        <f>IF(Q8="","",ABS((C8-Q8)/C8))</f>
        <v/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I8" s="5" t="inlineStr">
        <is>
          <t>Month 02 vs Jan</t>
        </is>
      </c>
      <c r="AJ8" s="7">
        <f>INDEX(LINEST($C$6:$C$26,$U$6:$AF$26,TRUE,FALSE),1,11)</f>
        <v/>
      </c>
    </row>
    <row r="9">
      <c r="A9" s="5" t="inlineStr">
        <is>
          <t>2010-03</t>
        </is>
      </c>
      <c r="B9" s="5" t="n">
        <v>3</v>
      </c>
      <c r="C9" s="8" t="n">
        <v>761705.98</v>
      </c>
      <c r="D9" s="5" t="inlineStr">
        <is>
          <t>train</t>
        </is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17">
        <f>TREND($C$6:$C$26,$U$6:$AF$26,$U9:$AF9)</f>
        <v/>
      </c>
      <c r="Q9" s="8" t="inlineStr"/>
      <c r="R9" s="15">
        <f>ABS((C9-P9)/C9)</f>
        <v/>
      </c>
      <c r="S9" s="15">
        <f>IF(Q9="","",ABS((C9-Q9)/C9))</f>
        <v/>
      </c>
      <c r="U9" t="n">
        <v>3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I9" s="5" t="inlineStr">
        <is>
          <t>Month 03 vs Jan</t>
        </is>
      </c>
      <c r="AJ9" s="7">
        <f>INDEX(LINEST($C$6:$C$26,$U$6:$AF$26,TRUE,FALSE),1,10)</f>
        <v/>
      </c>
    </row>
    <row r="10">
      <c r="A10" s="5" t="inlineStr">
        <is>
          <t>2010-04</t>
        </is>
      </c>
      <c r="B10" s="5" t="n">
        <v>4</v>
      </c>
      <c r="C10" s="8" t="n">
        <v>646340.9300000001</v>
      </c>
      <c r="D10" s="5" t="inlineStr">
        <is>
          <t>train</t>
        </is>
      </c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17">
        <f>TREND($C$6:$C$26,$U$6:$AF$26,$U10:$AF10)</f>
        <v/>
      </c>
      <c r="Q10" s="8" t="inlineStr"/>
      <c r="R10" s="15">
        <f>ABS((C10-P10)/C10)</f>
        <v/>
      </c>
      <c r="S10" s="15">
        <f>IF(Q10="","",ABS((C10-Q10)/C10))</f>
        <v/>
      </c>
      <c r="U10" t="n">
        <v>4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I10" s="5" t="inlineStr">
        <is>
          <t>Month 04 vs Jan</t>
        </is>
      </c>
      <c r="AJ10" s="7">
        <f>INDEX(LINEST($C$6:$C$26,$U$6:$AF$26,TRUE,FALSE),1,9)</f>
        <v/>
      </c>
    </row>
    <row r="11">
      <c r="A11" s="5" t="inlineStr">
        <is>
          <t>2010-05</t>
        </is>
      </c>
      <c r="B11" s="5" t="n">
        <v>5</v>
      </c>
      <c r="C11" s="8" t="n">
        <v>643492.03</v>
      </c>
      <c r="D11" s="5" t="inlineStr">
        <is>
          <t>train</t>
        </is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17">
        <f>TREND($C$6:$C$26,$U$6:$AF$26,$U11:$AF11)</f>
        <v/>
      </c>
      <c r="Q11" s="8" t="inlineStr"/>
      <c r="R11" s="15">
        <f>ABS((C11-P11)/C11)</f>
        <v/>
      </c>
      <c r="S11" s="15">
        <f>IF(Q11="","",ABS((C11-Q11)/C11))</f>
        <v/>
      </c>
      <c r="U11" t="n">
        <v>5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I11" s="5" t="inlineStr">
        <is>
          <t>Month 05 vs Jan</t>
        </is>
      </c>
      <c r="AJ11" s="7">
        <f>INDEX(LINEST($C$6:$C$26,$U$6:$AF$26,TRUE,FALSE),1,8)</f>
        <v/>
      </c>
    </row>
    <row r="12">
      <c r="A12" s="5" t="inlineStr">
        <is>
          <t>2010-06</t>
        </is>
      </c>
      <c r="B12" s="5" t="n">
        <v>6</v>
      </c>
      <c r="C12" s="8" t="n">
        <v>696583.1899999999</v>
      </c>
      <c r="D12" s="5" t="inlineStr">
        <is>
          <t>train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17">
        <f>TREND($C$6:$C$26,$U$6:$AF$26,$U12:$AF12)</f>
        <v/>
      </c>
      <c r="Q12" s="8" t="inlineStr"/>
      <c r="R12" s="15">
        <f>ABS((C12-P12)/C12)</f>
        <v/>
      </c>
      <c r="S12" s="15">
        <f>IF(Q12="","",ABS((C12-Q12)/C12))</f>
        <v/>
      </c>
      <c r="U12" t="n">
        <v>6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I12" s="5" t="inlineStr">
        <is>
          <t>Month 06 vs Jan</t>
        </is>
      </c>
      <c r="AJ12" s="7">
        <f>INDEX(LINEST($C$6:$C$26,$U$6:$AF$26,TRUE,FALSE),1,7)</f>
        <v/>
      </c>
    </row>
    <row r="13">
      <c r="A13" s="5" t="inlineStr">
        <is>
          <t>2010-07</t>
        </is>
      </c>
      <c r="B13" s="5" t="n">
        <v>7</v>
      </c>
      <c r="C13" s="8" t="n">
        <v>632994.3199999999</v>
      </c>
      <c r="D13" s="5" t="inlineStr">
        <is>
          <t>train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17">
        <f>TREND($C$6:$C$26,$U$6:$AF$26,$U13:$AF13)</f>
        <v/>
      </c>
      <c r="Q13" s="8" t="inlineStr"/>
      <c r="R13" s="15">
        <f>ABS((C13-P13)/C13)</f>
        <v/>
      </c>
      <c r="S13" s="15">
        <f>IF(Q13="","",ABS((C13-Q13)/C13))</f>
        <v/>
      </c>
      <c r="U13" t="n">
        <v>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I13" s="5" t="inlineStr">
        <is>
          <t>Month 07 vs Jan</t>
        </is>
      </c>
      <c r="AJ13" s="7">
        <f>INDEX(LINEST($C$6:$C$26,$U$6:$AF$26,TRUE,FALSE),1,6)</f>
        <v/>
      </c>
    </row>
    <row r="14">
      <c r="A14" s="5" t="inlineStr">
        <is>
          <t>2010-08</t>
        </is>
      </c>
      <c r="B14" s="5" t="n">
        <v>8</v>
      </c>
      <c r="C14" s="8" t="n">
        <v>674037.72</v>
      </c>
      <c r="D14" s="5" t="inlineStr">
        <is>
          <t>train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17">
        <f>TREND($C$6:$C$26,$U$6:$AF$26,$U14:$AF14)</f>
        <v/>
      </c>
      <c r="Q14" s="8" t="inlineStr"/>
      <c r="R14" s="15">
        <f>ABS((C14-P14)/C14)</f>
        <v/>
      </c>
      <c r="S14" s="15">
        <f>IF(Q14="","",ABS((C14-Q14)/C14))</f>
        <v/>
      </c>
      <c r="U14" t="n">
        <v>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I14" s="5" t="inlineStr">
        <is>
          <t>Month 08 vs Jan</t>
        </is>
      </c>
      <c r="AJ14" s="7">
        <f>INDEX(LINEST($C$6:$C$26,$U$6:$AF$26,TRUE,FALSE),1,5)</f>
        <v/>
      </c>
    </row>
    <row r="15">
      <c r="A15" s="5" t="inlineStr">
        <is>
          <t>2010-09</t>
        </is>
      </c>
      <c r="B15" s="5" t="n">
        <v>9</v>
      </c>
      <c r="C15" s="8" t="n">
        <v>869243.12</v>
      </c>
      <c r="D15" s="5" t="inlineStr">
        <is>
          <t>train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17">
        <f>TREND($C$6:$C$26,$U$6:$AF$26,$U15:$AF15)</f>
        <v/>
      </c>
      <c r="Q15" s="8" t="inlineStr"/>
      <c r="R15" s="15">
        <f>ABS((C15-P15)/C15)</f>
        <v/>
      </c>
      <c r="S15" s="15">
        <f>IF(Q15="","",ABS((C15-Q15)/C15))</f>
        <v/>
      </c>
      <c r="U15" t="n">
        <v>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I15" s="5" t="inlineStr">
        <is>
          <t>Month 09 vs Jan</t>
        </is>
      </c>
      <c r="AJ15" s="7">
        <f>INDEX(LINEST($C$6:$C$26,$U$6:$AF$26,TRUE,FALSE),1,4)</f>
        <v/>
      </c>
    </row>
    <row r="16">
      <c r="A16" s="5" t="inlineStr">
        <is>
          <t>2010-10</t>
        </is>
      </c>
      <c r="B16" s="5" t="n">
        <v>10</v>
      </c>
      <c r="C16" s="8" t="n">
        <v>1094421.23</v>
      </c>
      <c r="D16" s="5" t="inlineStr">
        <is>
          <t>train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0</v>
      </c>
      <c r="O16" s="5" t="n">
        <v>0</v>
      </c>
      <c r="P16" s="17">
        <f>TREND($C$6:$C$26,$U$6:$AF$26,$U16:$AF16)</f>
        <v/>
      </c>
      <c r="Q16" s="8" t="inlineStr"/>
      <c r="R16" s="15">
        <f>ABS((C16-P16)/C16)</f>
        <v/>
      </c>
      <c r="S16" s="15">
        <f>IF(Q16="","",ABS((C16-Q16)/C16))</f>
        <v/>
      </c>
      <c r="U16" t="n">
        <v>10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I16" s="5" t="inlineStr">
        <is>
          <t>Month 10 vs Jan</t>
        </is>
      </c>
      <c r="AJ16" s="7">
        <f>INDEX(LINEST($C$6:$C$26,$U$6:$AF$26,TRUE,FALSE),1,3)</f>
        <v/>
      </c>
    </row>
    <row r="17">
      <c r="A17" s="5" t="inlineStr">
        <is>
          <t>2010-11</t>
        </is>
      </c>
      <c r="B17" s="5" t="n">
        <v>11</v>
      </c>
      <c r="C17" s="8" t="n">
        <v>1429700.78</v>
      </c>
      <c r="D17" s="5" t="inlineStr">
        <is>
          <t>train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17">
        <f>TREND($C$6:$C$26,$U$6:$AF$26,$U17:$AF17)</f>
        <v/>
      </c>
      <c r="Q17" s="8" t="inlineStr"/>
      <c r="R17" s="15">
        <f>ABS((C17-P17)/C17)</f>
        <v/>
      </c>
      <c r="S17" s="15">
        <f>IF(Q17="","",ABS((C17-Q17)/C17))</f>
        <v/>
      </c>
      <c r="U17" t="n">
        <v>11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I17" s="5" t="inlineStr">
        <is>
          <t>Month 11 vs Jan</t>
        </is>
      </c>
      <c r="AJ17" s="7">
        <f>INDEX(LINEST($C$6:$C$26,$U$6:$AF$26,TRUE,FALSE),1,2)</f>
        <v/>
      </c>
    </row>
    <row r="18">
      <c r="A18" s="5" t="inlineStr">
        <is>
          <t>2010-12</t>
        </is>
      </c>
      <c r="B18" s="5" t="n">
        <v>12</v>
      </c>
      <c r="C18" s="8" t="n">
        <v>775638.36</v>
      </c>
      <c r="D18" s="5" t="inlineStr">
        <is>
          <t>train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</v>
      </c>
      <c r="P18" s="17">
        <f>TREND($C$6:$C$26,$U$6:$AF$26,$U18:$AF18)</f>
        <v/>
      </c>
      <c r="Q18" s="8">
        <f>C6</f>
        <v/>
      </c>
      <c r="R18" s="15">
        <f>ABS((C18-P18)/C18)</f>
        <v/>
      </c>
      <c r="S18" s="15">
        <f>IF(Q18="","",ABS((C18-Q18)/C18))</f>
        <v/>
      </c>
      <c r="U18" t="n">
        <v>12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I18" s="5" t="inlineStr">
        <is>
          <t>Month 12 vs Jan</t>
        </is>
      </c>
      <c r="AJ18" s="7">
        <f>INDEX(LINEST($C$6:$C$26,$U$6:$AF$26,TRUE,FALSE),1,1)</f>
        <v/>
      </c>
    </row>
    <row r="19">
      <c r="A19" s="5" t="inlineStr">
        <is>
          <t>2011-01</t>
        </is>
      </c>
      <c r="B19" s="5" t="n">
        <v>13</v>
      </c>
      <c r="C19" s="8" t="n">
        <v>670380.24</v>
      </c>
      <c r="D19" s="5" t="inlineStr">
        <is>
          <t>train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17">
        <f>TREND($C$6:$C$26,$U$6:$AF$26,$U19:$AF19)</f>
        <v/>
      </c>
      <c r="Q19" s="8">
        <f>C7</f>
        <v/>
      </c>
      <c r="R19" s="15">
        <f>ABS((C19-P19)/C19)</f>
        <v/>
      </c>
      <c r="S19" s="15">
        <f>IF(Q19="","",ABS((C19-Q19)/C19))</f>
        <v/>
      </c>
      <c r="U19" t="n">
        <v>13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5" t="inlineStr">
        <is>
          <t>2011-02</t>
        </is>
      </c>
      <c r="B20" s="5" t="n">
        <v>14</v>
      </c>
      <c r="C20" s="8" t="n">
        <v>507799.87</v>
      </c>
      <c r="D20" s="5" t="inlineStr">
        <is>
          <t>train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17">
        <f>TREND($C$6:$C$26,$U$6:$AF$26,$U20:$AF20)</f>
        <v/>
      </c>
      <c r="Q20" s="8">
        <f>C8</f>
        <v/>
      </c>
      <c r="R20" s="15">
        <f>ABS((C20-P20)/C20)</f>
        <v/>
      </c>
      <c r="S20" s="15">
        <f>IF(Q20="","",ABS((C20-Q20)/C20))</f>
        <v/>
      </c>
      <c r="U20" t="n">
        <v>14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I20" s="2" t="inlineStr">
        <is>
          <t>Holdout metrics (3 months, rows 27-29)</t>
        </is>
      </c>
    </row>
    <row r="21">
      <c r="A21" s="5" t="inlineStr">
        <is>
          <t>2011-03</t>
        </is>
      </c>
      <c r="B21" s="5" t="n">
        <v>15</v>
      </c>
      <c r="C21" s="8" t="n">
        <v>689833.51</v>
      </c>
      <c r="D21" s="5" t="inlineStr">
        <is>
          <t>train</t>
        </is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17">
        <f>TREND($C$6:$C$26,$U$6:$AF$26,$U21:$AF21)</f>
        <v/>
      </c>
      <c r="Q21" s="8">
        <f>C9</f>
        <v/>
      </c>
      <c r="R21" s="15">
        <f>ABS((C21-P21)/C21)</f>
        <v/>
      </c>
      <c r="S21" s="15">
        <f>IF(Q21="","",ABS((C21-Q21)/C21))</f>
        <v/>
      </c>
      <c r="U21" t="n">
        <v>15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I21" s="5" t="inlineStr">
        <is>
          <t>MAPE - regression</t>
        </is>
      </c>
      <c r="AJ21" s="18">
        <f>AVERAGE(R27:R29)</f>
        <v/>
      </c>
    </row>
    <row r="22">
      <c r="A22" s="5" t="inlineStr">
        <is>
          <t>2011-04</t>
        </is>
      </c>
      <c r="B22" s="5" t="n">
        <v>16</v>
      </c>
      <c r="C22" s="8" t="n">
        <v>515377.99</v>
      </c>
      <c r="D22" s="5" t="inlineStr">
        <is>
          <t>train</t>
        </is>
      </c>
      <c r="E22" s="5" t="n">
        <v>0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17">
        <f>TREND($C$6:$C$26,$U$6:$AF$26,$U22:$AF22)</f>
        <v/>
      </c>
      <c r="Q22" s="8">
        <f>C10</f>
        <v/>
      </c>
      <c r="R22" s="15">
        <f>ABS((C22-P22)/C22)</f>
        <v/>
      </c>
      <c r="S22" s="15">
        <f>IF(Q22="","",ABS((C22-Q22)/C22))</f>
        <v/>
      </c>
      <c r="U22" t="n">
        <v>16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I22" s="5" t="inlineStr">
        <is>
          <t>MAPE - seasonal naive</t>
        </is>
      </c>
      <c r="AJ22" s="18">
        <f>AVERAGE(S27:S29)</f>
        <v/>
      </c>
    </row>
    <row r="23">
      <c r="A23" s="5" t="inlineStr">
        <is>
          <t>2011-05</t>
        </is>
      </c>
      <c r="B23" s="5" t="n">
        <v>17</v>
      </c>
      <c r="C23" s="8" t="n">
        <v>739938.15</v>
      </c>
      <c r="D23" s="5" t="inlineStr">
        <is>
          <t>train</t>
        </is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17">
        <f>TREND($C$6:$C$26,$U$6:$AF$26,$U23:$AF23)</f>
        <v/>
      </c>
      <c r="Q23" s="8">
        <f>C11</f>
        <v/>
      </c>
      <c r="R23" s="15">
        <f>ABS((C23-P23)/C23)</f>
        <v/>
      </c>
      <c r="S23" s="15">
        <f>IF(Q23="","",ABS((C23-Q23)/C23))</f>
        <v/>
      </c>
      <c r="U23" t="n">
        <v>17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I23" s="5" t="inlineStr">
        <is>
          <t>RMSE - regression</t>
        </is>
      </c>
      <c r="AJ23" s="19">
        <f>SQRT(SUMXMY2(C27:C29,P27:P29)/3)</f>
        <v/>
      </c>
    </row>
    <row r="24">
      <c r="A24" s="5" t="inlineStr">
        <is>
          <t>2011-06</t>
        </is>
      </c>
      <c r="B24" s="5" t="n">
        <v>18</v>
      </c>
      <c r="C24" s="8" t="n">
        <v>737558.98</v>
      </c>
      <c r="D24" s="5" t="inlineStr">
        <is>
          <t>train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17">
        <f>TREND($C$6:$C$26,$U$6:$AF$26,$U24:$AF24)</f>
        <v/>
      </c>
      <c r="Q24" s="8">
        <f>C12</f>
        <v/>
      </c>
      <c r="R24" s="15">
        <f>ABS((C24-P24)/C24)</f>
        <v/>
      </c>
      <c r="S24" s="15">
        <f>IF(Q24="","",ABS((C24-Q24)/C24))</f>
        <v/>
      </c>
      <c r="U24" t="n">
        <v>18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I24" s="5" t="inlineStr">
        <is>
          <t>RMSE - seasonal naive</t>
        </is>
      </c>
      <c r="AJ24" s="19">
        <f>SQRT(SUMXMY2(C27:C29,Q27:Q29)/3)</f>
        <v/>
      </c>
    </row>
    <row r="25">
      <c r="A25" s="5" t="inlineStr">
        <is>
          <t>2011-07</t>
        </is>
      </c>
      <c r="B25" s="5" t="n">
        <v>19</v>
      </c>
      <c r="C25" s="8" t="n">
        <v>688219.34</v>
      </c>
      <c r="D25" s="5" t="inlineStr">
        <is>
          <t>train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17">
        <f>TREND($C$6:$C$26,$U$6:$AF$26,$U25:$AF25)</f>
        <v/>
      </c>
      <c r="Q25" s="8">
        <f>C13</f>
        <v/>
      </c>
      <c r="R25" s="15">
        <f>ABS((C25-P25)/C25)</f>
        <v/>
      </c>
      <c r="S25" s="15">
        <f>IF(Q25="","",ABS((C25-Q25)/C25))</f>
        <v/>
      </c>
      <c r="U25" t="n">
        <v>19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I25" s="5" t="inlineStr">
        <is>
          <t>R2 - regression</t>
        </is>
      </c>
      <c r="AJ25" s="20">
        <f>1-SUMXMY2(C27:C29,P27:P29)/DEVSQ(C27:C29)</f>
        <v/>
      </c>
    </row>
    <row r="26">
      <c r="A26" s="5" t="inlineStr">
        <is>
          <t>2011-08</t>
        </is>
      </c>
      <c r="B26" s="5" t="n">
        <v>20</v>
      </c>
      <c r="C26" s="8" t="n">
        <v>724216.5</v>
      </c>
      <c r="D26" s="5" t="inlineStr">
        <is>
          <t>train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17">
        <f>TREND($C$6:$C$26,$U$6:$AF$26,$U26:$AF26)</f>
        <v/>
      </c>
      <c r="Q26" s="8">
        <f>C14</f>
        <v/>
      </c>
      <c r="R26" s="15">
        <f>ABS((C26-P26)/C26)</f>
        <v/>
      </c>
      <c r="S26" s="15">
        <f>IF(Q26="","",ABS((C26-Q26)/C26))</f>
        <v/>
      </c>
      <c r="U26" t="n">
        <v>20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I26" s="5" t="inlineStr">
        <is>
          <t>R2 - seasonal naive</t>
        </is>
      </c>
      <c r="AJ26" s="20">
        <f>1-SUMXMY2(C27:C29,Q27:Q29)/DEVSQ(C27:C29)</f>
        <v/>
      </c>
    </row>
    <row r="27">
      <c r="A27" s="5" t="inlineStr">
        <is>
          <t>2011-09</t>
        </is>
      </c>
      <c r="B27" s="5" t="n">
        <v>21</v>
      </c>
      <c r="C27" s="8" t="n">
        <v>1028320.38</v>
      </c>
      <c r="D27" s="2" t="inlineStr">
        <is>
          <t>HOLDOUT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21">
        <f>TREND($C$6:$C$26,$U$6:$AF$26,$U27:$AF27)</f>
        <v/>
      </c>
      <c r="Q27" s="8">
        <f>C15</f>
        <v/>
      </c>
      <c r="R27" s="15">
        <f>ABS((C27-P27)/C27)</f>
        <v/>
      </c>
      <c r="S27" s="15">
        <f>IF(Q27="","",ABS((C27-Q27)/C27))</f>
        <v/>
      </c>
      <c r="U27" t="n">
        <v>21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I27" s="5" t="inlineStr">
        <is>
          <t>In-sample R2 (LINEST)</t>
        </is>
      </c>
      <c r="AJ27" s="20">
        <f>INDEX(LINEST($C$6:$C$26,$U$6:$AF$26,TRUE,TRUE),3,1)</f>
        <v/>
      </c>
    </row>
    <row r="28">
      <c r="A28" s="5" t="inlineStr">
        <is>
          <t>2011-10</t>
        </is>
      </c>
      <c r="B28" s="5" t="n">
        <v>22</v>
      </c>
      <c r="C28" s="8" t="n">
        <v>1103314.25</v>
      </c>
      <c r="D28" s="2" t="inlineStr">
        <is>
          <t>HOLDOUT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21">
        <f>TREND($C$6:$C$26,$U$6:$AF$26,$U28:$AF28)</f>
        <v/>
      </c>
      <c r="Q28" s="8">
        <f>C16</f>
        <v/>
      </c>
      <c r="R28" s="15">
        <f>ABS((C28-P28)/C28)</f>
        <v/>
      </c>
      <c r="S28" s="15">
        <f>IF(Q28="","",ABS((C28-Q28)/C28))</f>
        <v/>
      </c>
      <c r="U28" t="n">
        <v>22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</row>
    <row r="29">
      <c r="A29" s="5" t="inlineStr">
        <is>
          <t>2011-11</t>
        </is>
      </c>
      <c r="B29" s="5" t="n">
        <v>23</v>
      </c>
      <c r="C29" s="8" t="n">
        <v>1451578.98</v>
      </c>
      <c r="D29" s="2" t="inlineStr">
        <is>
          <t>HOLDOUT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21">
        <f>TREND($C$6:$C$26,$U$6:$AF$26,$U29:$AF29)</f>
        <v/>
      </c>
      <c r="Q29" s="8">
        <f>C17</f>
        <v/>
      </c>
      <c r="R29" s="15">
        <f>ABS((C29-P29)/C29)</f>
        <v/>
      </c>
      <c r="S29" s="15">
        <f>IF(Q29="","",ABS((C29-Q29)/C29))</f>
        <v/>
      </c>
      <c r="U29" t="n">
        <v>23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</row>
    <row r="30">
      <c r="AI30" s="2" t="inlineStr">
        <is>
          <t>Cross-check - values computed in Python by run_analysis.py (these two blocks must agree)</t>
        </is>
      </c>
    </row>
    <row r="31">
      <c r="AI31" s="9" t="inlineStr">
        <is>
          <t>MAPE regression (%)</t>
        </is>
      </c>
      <c r="AJ31" s="9" t="n">
        <v>5.493</v>
      </c>
    </row>
    <row r="32">
      <c r="AI32" s="9" t="inlineStr">
        <is>
          <t>MAPE seasonal naive (%)</t>
        </is>
      </c>
      <c r="AJ32" s="9" t="n">
        <v>5.9276</v>
      </c>
    </row>
    <row r="33">
      <c r="AI33" s="9" t="inlineStr">
        <is>
          <t>RMSE regression</t>
        </is>
      </c>
      <c r="AJ33" s="9" t="n">
        <v>89466.2518</v>
      </c>
    </row>
    <row r="34">
      <c r="AI34" s="9" t="inlineStr">
        <is>
          <t>RMSE seasonal naive</t>
        </is>
      </c>
      <c r="AJ34" s="9" t="n">
        <v>92849.9077</v>
      </c>
    </row>
    <row r="35">
      <c r="AI35" s="9" t="inlineStr">
        <is>
          <t>R2 regression</t>
        </is>
      </c>
      <c r="AJ35" s="9" t="n">
        <v>0.7645999999999999</v>
      </c>
    </row>
    <row r="36">
      <c r="AI36" s="9" t="inlineStr">
        <is>
          <t>R2 seasonal naive</t>
        </is>
      </c>
      <c r="AJ36" s="9" t="n">
        <v>0.7465000000000001</v>
      </c>
    </row>
    <row r="37">
      <c r="AI37" s="9" t="inlineStr">
        <is>
          <t>Rolling-origin MAPE regression (%)</t>
        </is>
      </c>
      <c r="AJ37" s="9" t="n">
        <v>6.8259</v>
      </c>
    </row>
    <row r="38">
      <c r="AI38" s="9" t="inlineStr">
        <is>
          <t>Rolling-origin MAPE seasonal naive (%)</t>
        </is>
      </c>
      <c r="AJ38" s="9" t="n">
        <v>6.3826</v>
      </c>
    </row>
    <row r="39">
      <c r="AI39" s="9" t="inlineStr">
        <is>
          <t>Python coefficient: intercept</t>
        </is>
      </c>
      <c r="AJ39" s="9" t="n">
        <v>638376.7593</v>
      </c>
    </row>
    <row r="40">
      <c r="AI40" s="9" t="inlineStr">
        <is>
          <t>Python coefficient: trend per month</t>
        </is>
      </c>
      <c r="AJ40" s="9" t="n">
        <v>423.153</v>
      </c>
    </row>
    <row r="41">
      <c r="AI41" s="9" t="inlineStr">
        <is>
          <t>Python coefficient: month 02 vs Jan</t>
        </is>
      </c>
      <c r="AJ41" s="9" t="n">
        <v>-118907.213</v>
      </c>
    </row>
    <row r="42">
      <c r="AI42" s="9" t="inlineStr">
        <is>
          <t>Python coefficient: month 03 vs Jan</t>
        </is>
      </c>
      <c r="AJ42" s="9" t="n">
        <v>83584.6091</v>
      </c>
    </row>
    <row r="43">
      <c r="AI43" s="9" t="inlineStr">
        <is>
          <t>Python coefficient: month 04 vs Jan</t>
        </is>
      </c>
      <c r="AJ43" s="9" t="n">
        <v>-61748.8289</v>
      </c>
    </row>
    <row r="44">
      <c r="AI44" s="9" t="inlineStr">
        <is>
          <t>Python coefficient: month 05 vs Jan</t>
        </is>
      </c>
      <c r="AJ44" s="9" t="n">
        <v>48683.6481</v>
      </c>
    </row>
    <row r="45">
      <c r="AI45" s="9" t="inlineStr">
        <is>
          <t>Python coefficient: month 06 vs Jan</t>
        </is>
      </c>
      <c r="AJ45" s="9" t="n">
        <v>73616.4902</v>
      </c>
    </row>
    <row r="46">
      <c r="AI46" s="9" t="inlineStr">
        <is>
          <t>Python coefficient: month 07 vs Jan</t>
        </is>
      </c>
      <c r="AJ46" s="9" t="n">
        <v>16729.0822</v>
      </c>
    </row>
    <row r="47">
      <c r="AI47" s="9" t="inlineStr">
        <is>
          <t>Python coefficient: month 08 vs Jan</t>
        </is>
      </c>
      <c r="AJ47" s="9" t="n">
        <v>54826.2093</v>
      </c>
    </row>
    <row r="48">
      <c r="AI48" s="9" t="inlineStr">
        <is>
          <t>Python coefficient: month 09 vs Jan</t>
        </is>
      </c>
      <c r="AJ48" s="9" t="n">
        <v>227057.9841</v>
      </c>
    </row>
    <row r="49">
      <c r="AI49" s="9" t="inlineStr">
        <is>
          <t>Python coefficient: month 10 vs Jan</t>
        </is>
      </c>
      <c r="AJ49" s="9" t="n">
        <v>451812.9411</v>
      </c>
    </row>
    <row r="50">
      <c r="AI50" s="9" t="inlineStr">
        <is>
          <t>Python coefficient: month 11 vs Jan</t>
        </is>
      </c>
      <c r="AJ50" s="9" t="n">
        <v>786669.3381000001</v>
      </c>
    </row>
    <row r="51">
      <c r="AI51" s="9" t="inlineStr">
        <is>
          <t>Python coefficient: month 12 vs Jan</t>
        </is>
      </c>
      <c r="AJ51" s="9" t="n">
        <v>145854.083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run_analysis.py (openpyxl)</dc:creator>
  <dc:title xmlns:dc="http://purl.org/dc/elements/1.1/">Online Retail II - sales dashboard and forecast</dc:title>
  <dcterms:created xmlns:dcterms="http://purl.org/dc/terms/" xmlns:xsi="http://www.w3.org/2001/XMLSchema-instance" xsi:type="dcterms:W3CDTF">2025-02-01T00:00:00Z</dcterms:created>
  <dcterms:modified xmlns:dcterms="http://purl.org/dc/terms/" xmlns:xsi="http://www.w3.org/2001/XMLSchema-instance" xsi:type="dcterms:W3CDTF">2025-02-01T00:00:00Z</dcterms:modified>
  <cp:lastModifiedBy>run_analysis.py (openpyxl)</cp:lastModifiedBy>
</cp:coreProperties>
</file>